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EZO 03332568818\Downloads\Projects\Faincial Modeling PROJECTS\"/>
    </mc:Choice>
  </mc:AlternateContent>
  <xr:revisionPtr revIDLastSave="0" documentId="13_ncr:1_{D08527F3-5898-4FB5-90FE-CA206F77E482}" xr6:coauthVersionLast="47" xr6:coauthVersionMax="47" xr10:uidLastSave="{00000000-0000-0000-0000-000000000000}"/>
  <bookViews>
    <workbookView xWindow="-120" yWindow="-120" windowWidth="20730" windowHeight="11160" xr2:uid="{5FE3AFE1-8CB2-426F-A345-DE430319F8B4}"/>
  </bookViews>
  <sheets>
    <sheet name="3 statment model" sheetId="1" r:id="rId1"/>
    <sheet name="Historical 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0" i="1" l="1"/>
  <c r="G80" i="1"/>
  <c r="H68" i="1"/>
  <c r="I68" i="1"/>
  <c r="J68" i="1"/>
  <c r="K68" i="1"/>
  <c r="L68" i="1"/>
  <c r="M68" i="1"/>
  <c r="N68" i="1"/>
  <c r="O68" i="1"/>
  <c r="I67" i="1"/>
  <c r="J67" i="1"/>
  <c r="K67" i="1"/>
  <c r="L67" i="1"/>
  <c r="M67" i="1"/>
  <c r="N67" i="1"/>
  <c r="O67" i="1"/>
  <c r="H67" i="1"/>
  <c r="H99" i="1"/>
  <c r="I99" i="1"/>
  <c r="J99" i="1"/>
  <c r="K99" i="1"/>
  <c r="L99" i="1"/>
  <c r="M99" i="1"/>
  <c r="N99" i="1"/>
  <c r="O99" i="1"/>
  <c r="H100" i="1"/>
  <c r="I100" i="1"/>
  <c r="J100" i="1"/>
  <c r="K100" i="1"/>
  <c r="L100" i="1"/>
  <c r="M100" i="1"/>
  <c r="N100" i="1"/>
  <c r="O100" i="1"/>
  <c r="H101" i="1"/>
  <c r="I101" i="1"/>
  <c r="J101" i="1"/>
  <c r="K101" i="1"/>
  <c r="L101" i="1"/>
  <c r="M101" i="1"/>
  <c r="N101" i="1"/>
  <c r="O101" i="1"/>
  <c r="H102" i="1"/>
  <c r="I102" i="1"/>
  <c r="J102" i="1"/>
  <c r="K102" i="1"/>
  <c r="L102" i="1"/>
  <c r="M102" i="1"/>
  <c r="N102" i="1"/>
  <c r="O102" i="1"/>
  <c r="E99" i="1"/>
  <c r="F99" i="1"/>
  <c r="F102" i="1" s="1"/>
  <c r="G99" i="1"/>
  <c r="E100" i="1"/>
  <c r="E102" i="1" s="1"/>
  <c r="F100" i="1"/>
  <c r="G100" i="1"/>
  <c r="E101" i="1"/>
  <c r="F101" i="1"/>
  <c r="G101" i="1"/>
  <c r="G102" i="1"/>
  <c r="D101" i="1"/>
  <c r="D99" i="1"/>
  <c r="D102" i="1" s="1"/>
  <c r="D100" i="1"/>
  <c r="C102" i="1"/>
  <c r="C101" i="1"/>
  <c r="C100" i="1"/>
  <c r="C99" i="1"/>
  <c r="H79" i="1"/>
  <c r="I79" i="1"/>
  <c r="J79" i="1"/>
  <c r="K79" i="1"/>
  <c r="L79" i="1"/>
  <c r="M79" i="1"/>
  <c r="N79" i="1"/>
  <c r="O79" i="1"/>
  <c r="H77" i="1"/>
  <c r="I77" i="1"/>
  <c r="J77" i="1"/>
  <c r="K77" i="1"/>
  <c r="L77" i="1"/>
  <c r="M77" i="1"/>
  <c r="N77" i="1"/>
  <c r="O77" i="1"/>
  <c r="H72" i="1"/>
  <c r="I72" i="1"/>
  <c r="J72" i="1"/>
  <c r="K72" i="1"/>
  <c r="L72" i="1"/>
  <c r="M72" i="1"/>
  <c r="N72" i="1"/>
  <c r="O72" i="1"/>
  <c r="I71" i="1"/>
  <c r="J71" i="1"/>
  <c r="K71" i="1"/>
  <c r="L71" i="1"/>
  <c r="M71" i="1"/>
  <c r="N71" i="1"/>
  <c r="O71" i="1"/>
  <c r="H71" i="1"/>
  <c r="I66" i="1"/>
  <c r="J66" i="1"/>
  <c r="K66" i="1"/>
  <c r="L66" i="1"/>
  <c r="M66" i="1"/>
  <c r="N66" i="1"/>
  <c r="O66" i="1"/>
  <c r="H66" i="1"/>
  <c r="I64" i="1"/>
  <c r="J64" i="1"/>
  <c r="K64" i="1"/>
  <c r="L64" i="1"/>
  <c r="M64" i="1"/>
  <c r="N64" i="1"/>
  <c r="O64" i="1"/>
  <c r="H64" i="1"/>
  <c r="D4" i="1"/>
  <c r="E4" i="1"/>
  <c r="F4" i="1"/>
  <c r="C4" i="1"/>
  <c r="H60" i="1"/>
  <c r="I60" i="1"/>
  <c r="J60" i="1"/>
  <c r="K60" i="1"/>
  <c r="L60" i="1"/>
  <c r="M60" i="1"/>
  <c r="N60" i="1"/>
  <c r="O60" i="1"/>
  <c r="H59" i="1"/>
  <c r="I59" i="1"/>
  <c r="J59" i="1"/>
  <c r="K59" i="1"/>
  <c r="L59" i="1"/>
  <c r="M59" i="1"/>
  <c r="N59" i="1"/>
  <c r="O59" i="1"/>
  <c r="H58" i="1"/>
  <c r="I58" i="1"/>
  <c r="J58" i="1"/>
  <c r="K58" i="1"/>
  <c r="L58" i="1"/>
  <c r="M58" i="1"/>
  <c r="N58" i="1"/>
  <c r="O58" i="1"/>
  <c r="H55" i="1"/>
  <c r="I55" i="1"/>
  <c r="J55" i="1"/>
  <c r="K55" i="1"/>
  <c r="L55" i="1"/>
  <c r="M55" i="1"/>
  <c r="N55" i="1"/>
  <c r="O55" i="1"/>
  <c r="H51" i="1"/>
  <c r="I51" i="1"/>
  <c r="J51" i="1"/>
  <c r="K51" i="1"/>
  <c r="L51" i="1"/>
  <c r="M51" i="1"/>
  <c r="N51" i="1"/>
  <c r="O51" i="1"/>
  <c r="I50" i="1"/>
  <c r="J50" i="1"/>
  <c r="K50" i="1"/>
  <c r="L50" i="1"/>
  <c r="M50" i="1"/>
  <c r="N50" i="1"/>
  <c r="O50" i="1"/>
  <c r="H50" i="1"/>
  <c r="I94" i="1"/>
  <c r="I95" i="1"/>
  <c r="I96" i="1" s="1"/>
  <c r="J94" i="1" s="1"/>
  <c r="J96" i="1" s="1"/>
  <c r="K94" i="1" s="1"/>
  <c r="K96" i="1" s="1"/>
  <c r="L94" i="1" s="1"/>
  <c r="L96" i="1" s="1"/>
  <c r="M94" i="1" s="1"/>
  <c r="M96" i="1" s="1"/>
  <c r="N94" i="1" s="1"/>
  <c r="N96" i="1" s="1"/>
  <c r="O94" i="1" s="1"/>
  <c r="O96" i="1" s="1"/>
  <c r="J95" i="1"/>
  <c r="K95" i="1"/>
  <c r="L95" i="1"/>
  <c r="M95" i="1"/>
  <c r="N95" i="1"/>
  <c r="O95" i="1"/>
  <c r="H96" i="1"/>
  <c r="H95" i="1"/>
  <c r="H94" i="1"/>
  <c r="E95" i="1"/>
  <c r="F95" i="1"/>
  <c r="G95" i="1"/>
  <c r="E96" i="1"/>
  <c r="E94" i="1" s="1"/>
  <c r="F96" i="1"/>
  <c r="F94" i="1" s="1"/>
  <c r="G96" i="1"/>
  <c r="G94" i="1" s="1"/>
  <c r="D94" i="1"/>
  <c r="D95" i="1"/>
  <c r="D96" i="1"/>
  <c r="C96" i="1"/>
  <c r="D89" i="1"/>
  <c r="E89" i="1"/>
  <c r="F89" i="1"/>
  <c r="G89" i="1"/>
  <c r="D90" i="1"/>
  <c r="E90" i="1"/>
  <c r="F90" i="1"/>
  <c r="G90" i="1"/>
  <c r="D91" i="1"/>
  <c r="E91" i="1"/>
  <c r="E88" i="1" s="1"/>
  <c r="F91" i="1"/>
  <c r="F88" i="1" s="1"/>
  <c r="G91" i="1"/>
  <c r="G88" i="1" s="1"/>
  <c r="C88" i="1"/>
  <c r="C89" i="1"/>
  <c r="C90" i="1"/>
  <c r="C91" i="1"/>
  <c r="I54" i="1"/>
  <c r="J54" i="1"/>
  <c r="K54" i="1"/>
  <c r="L54" i="1"/>
  <c r="M54" i="1"/>
  <c r="N54" i="1"/>
  <c r="O54" i="1"/>
  <c r="H54" i="1"/>
  <c r="I49" i="1"/>
  <c r="J49" i="1" s="1"/>
  <c r="K49" i="1" s="1"/>
  <c r="L49" i="1" s="1"/>
  <c r="M49" i="1" s="1"/>
  <c r="N49" i="1" s="1"/>
  <c r="O49" i="1" s="1"/>
  <c r="H49" i="1"/>
  <c r="I31" i="1"/>
  <c r="J31" i="1"/>
  <c r="K31" i="1"/>
  <c r="L31" i="1"/>
  <c r="M31" i="1"/>
  <c r="N31" i="1"/>
  <c r="O31" i="1"/>
  <c r="H31" i="1"/>
  <c r="H25" i="1"/>
  <c r="H91" i="1" s="1"/>
  <c r="D21" i="1"/>
  <c r="E21" i="1"/>
  <c r="F21" i="1"/>
  <c r="G21" i="1"/>
  <c r="C21" i="1"/>
  <c r="D20" i="1"/>
  <c r="E20" i="1"/>
  <c r="F20" i="1"/>
  <c r="G20" i="1"/>
  <c r="C20" i="1"/>
  <c r="D19" i="1"/>
  <c r="E19" i="1"/>
  <c r="F19" i="1"/>
  <c r="G19" i="1"/>
  <c r="C19" i="1"/>
  <c r="D18" i="1"/>
  <c r="E18" i="1"/>
  <c r="F18" i="1"/>
  <c r="G18" i="1"/>
  <c r="C18" i="1"/>
  <c r="D17" i="1"/>
  <c r="E17" i="1"/>
  <c r="F17" i="1"/>
  <c r="G17" i="1"/>
  <c r="C17" i="1"/>
  <c r="E9" i="1"/>
  <c r="F9" i="1"/>
  <c r="G9" i="1"/>
  <c r="E11" i="1"/>
  <c r="F11" i="1"/>
  <c r="G11" i="1"/>
  <c r="E12" i="1"/>
  <c r="F12" i="1"/>
  <c r="G12" i="1"/>
  <c r="E13" i="1"/>
  <c r="F13" i="1"/>
  <c r="G13" i="1"/>
  <c r="C14" i="1"/>
  <c r="D13" i="1"/>
  <c r="C13" i="1"/>
  <c r="D12" i="1"/>
  <c r="C12" i="1"/>
  <c r="D11" i="1"/>
  <c r="C11" i="1"/>
  <c r="C10" i="1"/>
  <c r="D9" i="1"/>
  <c r="D77" i="1"/>
  <c r="E77" i="1"/>
  <c r="F77" i="1"/>
  <c r="G77" i="1"/>
  <c r="C77" i="1"/>
  <c r="D72" i="1"/>
  <c r="E72" i="1"/>
  <c r="F72" i="1"/>
  <c r="G72" i="1"/>
  <c r="C72" i="1"/>
  <c r="D68" i="1"/>
  <c r="E68" i="1"/>
  <c r="F68" i="1"/>
  <c r="G68" i="1"/>
  <c r="C68" i="1"/>
  <c r="D58" i="1"/>
  <c r="E58" i="1"/>
  <c r="F58" i="1"/>
  <c r="G58" i="1"/>
  <c r="C58" i="1"/>
  <c r="D55" i="1"/>
  <c r="E55" i="1"/>
  <c r="F55" i="1"/>
  <c r="G55" i="1"/>
  <c r="C55" i="1"/>
  <c r="D51" i="1"/>
  <c r="E51" i="1"/>
  <c r="F51" i="1"/>
  <c r="G51" i="1"/>
  <c r="C51" i="1"/>
  <c r="D45" i="1"/>
  <c r="E45" i="1"/>
  <c r="E46" i="1" s="1"/>
  <c r="F45" i="1"/>
  <c r="G45" i="1"/>
  <c r="G46" i="1" s="1"/>
  <c r="G4" i="1" s="1"/>
  <c r="D46" i="1"/>
  <c r="F46" i="1"/>
  <c r="C45" i="1"/>
  <c r="C46" i="1" s="1"/>
  <c r="D27" i="1"/>
  <c r="D32" i="1" s="1"/>
  <c r="D34" i="1" s="1"/>
  <c r="E27" i="1"/>
  <c r="E32" i="1" s="1"/>
  <c r="E34" i="1" s="1"/>
  <c r="F27" i="1"/>
  <c r="F32" i="1" s="1"/>
  <c r="F34" i="1" s="1"/>
  <c r="G27" i="1"/>
  <c r="G32" i="1" s="1"/>
  <c r="G34" i="1" s="1"/>
  <c r="C27" i="1"/>
  <c r="C32" i="1" s="1"/>
  <c r="C34" i="1" s="1"/>
  <c r="C95" i="1" s="1"/>
  <c r="C94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I88" i="1" l="1"/>
  <c r="H40" i="1"/>
  <c r="E14" i="1"/>
  <c r="D10" i="1"/>
  <c r="D14" i="1"/>
  <c r="H88" i="1"/>
  <c r="E10" i="1"/>
  <c r="D88" i="1"/>
  <c r="G14" i="1"/>
  <c r="G10" i="1"/>
  <c r="F14" i="1"/>
  <c r="F10" i="1"/>
  <c r="I25" i="1"/>
  <c r="H26" i="1"/>
  <c r="H29" i="1"/>
  <c r="H30" i="1"/>
  <c r="H90" i="1" s="1"/>
  <c r="H89" i="1" s="1"/>
  <c r="H43" i="1"/>
  <c r="F79" i="1"/>
  <c r="F81" i="1" s="1"/>
  <c r="E79" i="1"/>
  <c r="E81" i="1" s="1"/>
  <c r="C79" i="1"/>
  <c r="C81" i="1" s="1"/>
  <c r="D79" i="1"/>
  <c r="D81" i="1" s="1"/>
  <c r="G79" i="1"/>
  <c r="G81" i="1" s="1"/>
  <c r="H81" i="1" s="1"/>
  <c r="F59" i="1"/>
  <c r="F60" i="1" s="1"/>
  <c r="C59" i="1"/>
  <c r="C60" i="1" s="1"/>
  <c r="D59" i="1"/>
  <c r="D60" i="1" s="1"/>
  <c r="E59" i="1"/>
  <c r="E60" i="1" s="1"/>
  <c r="G59" i="1"/>
  <c r="G60" i="1" s="1"/>
  <c r="H42" i="1" l="1"/>
  <c r="I91" i="1"/>
  <c r="I43" i="1"/>
  <c r="I30" i="1"/>
  <c r="I90" i="1" s="1"/>
  <c r="I29" i="1"/>
  <c r="I26" i="1"/>
  <c r="J25" i="1"/>
  <c r="I27" i="1"/>
  <c r="I32" i="1" s="1"/>
  <c r="H44" i="1"/>
  <c r="H57" i="1"/>
  <c r="H27" i="1"/>
  <c r="H32" i="1" s="1"/>
  <c r="H45" i="1" l="1"/>
  <c r="H46" i="1" s="1"/>
  <c r="H4" i="1" s="1"/>
  <c r="I80" i="1"/>
  <c r="I81" i="1" s="1"/>
  <c r="I42" i="1"/>
  <c r="I33" i="1"/>
  <c r="I34" i="1"/>
  <c r="H33" i="1"/>
  <c r="H34" i="1"/>
  <c r="K25" i="1"/>
  <c r="J91" i="1"/>
  <c r="J43" i="1"/>
  <c r="J30" i="1"/>
  <c r="J90" i="1" s="1"/>
  <c r="J29" i="1"/>
  <c r="J26" i="1"/>
  <c r="J27" i="1" s="1"/>
  <c r="J32" i="1" s="1"/>
  <c r="I44" i="1"/>
  <c r="I57" i="1"/>
  <c r="J88" i="1"/>
  <c r="I89" i="1"/>
  <c r="I40" i="1"/>
  <c r="I45" i="1" l="1"/>
  <c r="I46" i="1" s="1"/>
  <c r="I4" i="1" s="1"/>
  <c r="J80" i="1"/>
  <c r="J81" i="1" s="1"/>
  <c r="J42" i="1"/>
  <c r="J33" i="1"/>
  <c r="J34" i="1" s="1"/>
  <c r="J89" i="1"/>
  <c r="J40" i="1"/>
  <c r="K88" i="1"/>
  <c r="J57" i="1"/>
  <c r="J44" i="1"/>
  <c r="L25" i="1"/>
  <c r="K27" i="1"/>
  <c r="K43" i="1"/>
  <c r="K29" i="1"/>
  <c r="K26" i="1"/>
  <c r="K91" i="1"/>
  <c r="K30" i="1"/>
  <c r="K90" i="1" s="1"/>
  <c r="J45" i="1" l="1"/>
  <c r="J46" i="1" s="1"/>
  <c r="J4" i="1" s="1"/>
  <c r="K80" i="1"/>
  <c r="K81" i="1" s="1"/>
  <c r="K42" i="1"/>
  <c r="M25" i="1"/>
  <c r="L43" i="1"/>
  <c r="L30" i="1"/>
  <c r="L90" i="1" s="1"/>
  <c r="L29" i="1"/>
  <c r="L26" i="1"/>
  <c r="L91" i="1"/>
  <c r="K32" i="1"/>
  <c r="K89" i="1"/>
  <c r="K57" i="1"/>
  <c r="K44" i="1"/>
  <c r="K40" i="1"/>
  <c r="L88" i="1"/>
  <c r="L89" i="1" s="1"/>
  <c r="K45" i="1" l="1"/>
  <c r="K46" i="1" s="1"/>
  <c r="K4" i="1" s="1"/>
  <c r="L80" i="1"/>
  <c r="L81" i="1" s="1"/>
  <c r="L42" i="1"/>
  <c r="K33" i="1"/>
  <c r="K34" i="1" s="1"/>
  <c r="M88" i="1"/>
  <c r="L40" i="1"/>
  <c r="L27" i="1"/>
  <c r="L32" i="1" s="1"/>
  <c r="L44" i="1"/>
  <c r="L57" i="1"/>
  <c r="N25" i="1"/>
  <c r="M91" i="1"/>
  <c r="M43" i="1"/>
  <c r="M30" i="1"/>
  <c r="M90" i="1" s="1"/>
  <c r="M29" i="1"/>
  <c r="M26" i="1"/>
  <c r="M27" i="1"/>
  <c r="M32" i="1" s="1"/>
  <c r="L45" i="1" l="1"/>
  <c r="L46" i="1" s="1"/>
  <c r="L4" i="1" s="1"/>
  <c r="M80" i="1"/>
  <c r="M81" i="1" s="1"/>
  <c r="M42" i="1"/>
  <c r="L33" i="1"/>
  <c r="L34" i="1"/>
  <c r="O25" i="1"/>
  <c r="N91" i="1"/>
  <c r="N43" i="1"/>
  <c r="N30" i="1"/>
  <c r="N90" i="1" s="1"/>
  <c r="N29" i="1"/>
  <c r="N26" i="1"/>
  <c r="N27" i="1"/>
  <c r="N32" i="1" s="1"/>
  <c r="M57" i="1"/>
  <c r="M44" i="1"/>
  <c r="N88" i="1"/>
  <c r="M40" i="1"/>
  <c r="M89" i="1"/>
  <c r="M33" i="1"/>
  <c r="M34" i="1"/>
  <c r="M45" i="1" l="1"/>
  <c r="M46" i="1" s="1"/>
  <c r="M4" i="1" s="1"/>
  <c r="N80" i="1"/>
  <c r="N81" i="1" s="1"/>
  <c r="N42" i="1"/>
  <c r="N89" i="1"/>
  <c r="N40" i="1"/>
  <c r="O88" i="1"/>
  <c r="N57" i="1"/>
  <c r="N44" i="1"/>
  <c r="O43" i="1"/>
  <c r="O30" i="1"/>
  <c r="O90" i="1" s="1"/>
  <c r="O91" i="1"/>
  <c r="O40" i="1" s="1"/>
  <c r="O29" i="1"/>
  <c r="O26" i="1"/>
  <c r="O27" i="1" s="1"/>
  <c r="O32" i="1" s="1"/>
  <c r="N33" i="1"/>
  <c r="N34" i="1"/>
  <c r="N45" i="1" l="1"/>
  <c r="N46" i="1" s="1"/>
  <c r="N4" i="1" s="1"/>
  <c r="O80" i="1"/>
  <c r="O81" i="1" s="1"/>
  <c r="O42" i="1" s="1"/>
  <c r="O45" i="1" s="1"/>
  <c r="O46" i="1" s="1"/>
  <c r="O4" i="1" s="1"/>
  <c r="O34" i="1"/>
  <c r="O33" i="1"/>
  <c r="O89" i="1"/>
  <c r="O57" i="1"/>
  <c r="O44" i="1"/>
</calcChain>
</file>

<file path=xl/sharedStrings.xml><?xml version="1.0" encoding="utf-8"?>
<sst xmlns="http://schemas.openxmlformats.org/spreadsheetml/2006/main" count="131" uniqueCount="81">
  <si>
    <t>Building 3 Statement Model</t>
  </si>
  <si>
    <t>All figure in PKR</t>
  </si>
  <si>
    <t>Number of Days</t>
  </si>
  <si>
    <t>Check</t>
  </si>
  <si>
    <t>Statement of Profit or Loss</t>
  </si>
  <si>
    <t>Sales Revenue</t>
  </si>
  <si>
    <t>Cost of Sales</t>
  </si>
  <si>
    <t>Gross Profit</t>
  </si>
  <si>
    <t>SG&amp;A Expense</t>
  </si>
  <si>
    <t>Depreciation Expense</t>
  </si>
  <si>
    <t>Interest Expense</t>
  </si>
  <si>
    <t>Income Before Income Taxes</t>
  </si>
  <si>
    <t>Income Taxes</t>
  </si>
  <si>
    <t>Profit after tax</t>
  </si>
  <si>
    <t>Assets</t>
  </si>
  <si>
    <t>Non-current Assets</t>
  </si>
  <si>
    <t>Property, Plant &amp; Equipment</t>
  </si>
  <si>
    <t>Current Assets</t>
  </si>
  <si>
    <t>Cash &amp; Cash Equivalents</t>
  </si>
  <si>
    <t>Accounts Receivable</t>
  </si>
  <si>
    <t>Inventories</t>
  </si>
  <si>
    <t>Total Current Assets</t>
  </si>
  <si>
    <t>Total Assets</t>
  </si>
  <si>
    <t>Shareholders' Equity</t>
  </si>
  <si>
    <t>Share Capital</t>
  </si>
  <si>
    <t>Retained Earnings</t>
  </si>
  <si>
    <t>Total Shareholders' Equity</t>
  </si>
  <si>
    <t>Non-current Liabilities</t>
  </si>
  <si>
    <t>Long-Term Debt</t>
  </si>
  <si>
    <t>Total</t>
  </si>
  <si>
    <t>Current Liabilities</t>
  </si>
  <si>
    <t>Accounts Payable</t>
  </si>
  <si>
    <t>Total Current Liabilities</t>
  </si>
  <si>
    <t>Total Liabilities</t>
  </si>
  <si>
    <t>Total Liabilities and Shareholders' Equity</t>
  </si>
  <si>
    <t>Statement of Profit or Loss for the years ended 31 December</t>
  </si>
  <si>
    <t>Statement of Financial Position as at 31 December</t>
  </si>
  <si>
    <t>Statement of Cash Flows for the years ended 31 December</t>
  </si>
  <si>
    <t>Operating Activities</t>
  </si>
  <si>
    <t>Adjustments For:</t>
  </si>
  <si>
    <t>Changes in Non-Cash Working Capital</t>
  </si>
  <si>
    <t>Cash Generated From Operating Activities</t>
  </si>
  <si>
    <t>Investing Activities</t>
  </si>
  <si>
    <t>Additions to PPE</t>
  </si>
  <si>
    <t>Cash (Used For) Investing Activities</t>
  </si>
  <si>
    <t>Financing Activities</t>
  </si>
  <si>
    <t>Repayment of Debt</t>
  </si>
  <si>
    <t>Issuance of Equity</t>
  </si>
  <si>
    <t>Cash (Used For) Generated From Financing Activities</t>
  </si>
  <si>
    <t>Cash (Used) Generated in the Period</t>
  </si>
  <si>
    <t>Cash &amp; Cash Equivalents at Start</t>
  </si>
  <si>
    <t>Cash &amp; Cash Equivalents at End</t>
  </si>
  <si>
    <t>Statement of Cash Flows</t>
  </si>
  <si>
    <t>Assumption and Key driver</t>
  </si>
  <si>
    <t>Statement of Financial Position</t>
  </si>
  <si>
    <t>Sale Growth Rate</t>
  </si>
  <si>
    <t>Gross profit Margin</t>
  </si>
  <si>
    <t>SG&amp;A as a %age of sale</t>
  </si>
  <si>
    <t>Intrest expense as a %age ofLTL</t>
  </si>
  <si>
    <t>Tax as a %age of PBT</t>
  </si>
  <si>
    <t>Capital trunover Ratio</t>
  </si>
  <si>
    <t>Recievable Days(RevenueBaes)</t>
  </si>
  <si>
    <t>Inventory days(COS Days)</t>
  </si>
  <si>
    <t>Payable Days(COS Days)</t>
  </si>
  <si>
    <t>Long term Laibablities(LTL)</t>
  </si>
  <si>
    <t>Supporting Calculation</t>
  </si>
  <si>
    <t>1.PPE Schedule</t>
  </si>
  <si>
    <t>Balance b/d</t>
  </si>
  <si>
    <t>Addition/(Disposal)</t>
  </si>
  <si>
    <t>Balance at End</t>
  </si>
  <si>
    <t>2. Retained Earning</t>
  </si>
  <si>
    <t>Profit for the year</t>
  </si>
  <si>
    <t>Closing Balance</t>
  </si>
  <si>
    <t>3.Change in working capital</t>
  </si>
  <si>
    <t>Account Payable</t>
  </si>
  <si>
    <t xml:space="preserve">Inventory </t>
  </si>
  <si>
    <t>Balance</t>
  </si>
  <si>
    <t>Deprecation</t>
  </si>
  <si>
    <t>Opening Balance</t>
  </si>
  <si>
    <t>Account Receivable</t>
  </si>
  <si>
    <t>Deprecation as a %age of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</si>
</sst>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\A"/>
    <numFmt numFmtId="165" formatCode="0\F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Quattrocento Sans"/>
    </font>
    <font>
      <sz val="12"/>
      <color theme="1"/>
      <name val="Quattrocento Sans"/>
    </font>
    <font>
      <b/>
      <sz val="12"/>
      <color theme="1"/>
      <name val="Quattrocento Sans"/>
    </font>
    <font>
      <b/>
      <sz val="11"/>
      <color theme="1"/>
      <name val="Quattrocento Sans"/>
    </font>
    <font>
      <b/>
      <u/>
      <sz val="12"/>
      <color theme="1"/>
      <name val="Quattrocento Sans"/>
    </font>
    <font>
      <sz val="11"/>
      <color theme="1"/>
      <name val="Quattrocento Sans"/>
    </font>
    <font>
      <b/>
      <u/>
      <sz val="11"/>
      <color theme="1"/>
      <name val="Quattrocento Sans"/>
    </font>
    <font>
      <b/>
      <sz val="12"/>
      <color rgb="FFFFFFFF"/>
      <name val="Quattrocento Sans"/>
    </font>
    <font>
      <sz val="11"/>
      <color rgb="FF0000FF"/>
      <name val="Quattrocento Sans"/>
    </font>
    <font>
      <sz val="11"/>
      <color rgb="FF000099"/>
      <name val="Calibri"/>
      <family val="2"/>
      <scheme val="minor"/>
    </font>
    <font>
      <b/>
      <sz val="12"/>
      <color rgb="FF0000FF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1F3864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theme="1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3" borderId="0" xfId="0" applyFill="1"/>
    <xf numFmtId="0" fontId="4" fillId="3" borderId="0" xfId="0" applyFont="1" applyFill="1"/>
    <xf numFmtId="0" fontId="7" fillId="3" borderId="0" xfId="0" applyFont="1" applyFill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0" fontId="0" fillId="0" borderId="2" xfId="0" applyBorder="1" applyAlignment="1">
      <alignment wrapText="1"/>
    </xf>
    <xf numFmtId="0" fontId="10" fillId="0" borderId="2" xfId="0" applyFont="1" applyBorder="1" applyAlignment="1">
      <alignment wrapText="1"/>
    </xf>
    <xf numFmtId="4" fontId="9" fillId="0" borderId="2" xfId="0" applyNumberFormat="1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4" fontId="11" fillId="0" borderId="1" xfId="0" applyNumberFormat="1" applyFont="1" applyBorder="1" applyAlignment="1">
      <alignment horizontal="right" wrapText="1"/>
    </xf>
    <xf numFmtId="0" fontId="9" fillId="0" borderId="2" xfId="0" applyFont="1" applyBorder="1" applyAlignment="1">
      <alignment horizontal="right" wrapText="1"/>
    </xf>
    <xf numFmtId="4" fontId="10" fillId="0" borderId="1" xfId="0" applyNumberFormat="1" applyFont="1" applyBorder="1" applyAlignment="1">
      <alignment horizontal="right" wrapText="1"/>
    </xf>
    <xf numFmtId="0" fontId="11" fillId="0" borderId="2" xfId="0" applyFont="1" applyBorder="1" applyAlignment="1">
      <alignment wrapText="1"/>
    </xf>
    <xf numFmtId="4" fontId="11" fillId="0" borderId="2" xfId="0" applyNumberFormat="1" applyFont="1" applyBorder="1" applyAlignment="1">
      <alignment horizontal="right" wrapText="1"/>
    </xf>
    <xf numFmtId="37" fontId="9" fillId="0" borderId="1" xfId="0" applyNumberFormat="1" applyFont="1" applyBorder="1" applyAlignment="1">
      <alignment horizontal="right" wrapText="1"/>
    </xf>
    <xf numFmtId="37" fontId="0" fillId="0" borderId="0" xfId="0" applyNumberFormat="1"/>
    <xf numFmtId="37" fontId="9" fillId="0" borderId="2" xfId="0" applyNumberFormat="1" applyFont="1" applyBorder="1" applyAlignment="1">
      <alignment horizontal="right" wrapText="1"/>
    </xf>
    <xf numFmtId="37" fontId="11" fillId="0" borderId="1" xfId="0" applyNumberFormat="1" applyFont="1" applyBorder="1" applyAlignment="1">
      <alignment horizontal="right" wrapText="1"/>
    </xf>
    <xf numFmtId="37" fontId="0" fillId="0" borderId="1" xfId="0" applyNumberFormat="1" applyBorder="1" applyAlignment="1">
      <alignment wrapText="1"/>
    </xf>
    <xf numFmtId="37" fontId="10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2" xfId="0" applyFont="1" applyBorder="1" applyAlignment="1">
      <alignment wrapText="1"/>
    </xf>
    <xf numFmtId="4" fontId="8" fillId="0" borderId="1" xfId="0" applyNumberFormat="1" applyFont="1" applyBorder="1" applyAlignment="1">
      <alignment horizontal="right" wrapText="1"/>
    </xf>
    <xf numFmtId="0" fontId="12" fillId="0" borderId="2" xfId="0" applyFont="1" applyBorder="1" applyAlignment="1">
      <alignment wrapText="1"/>
    </xf>
    <xf numFmtId="0" fontId="15" fillId="0" borderId="1" xfId="0" applyFont="1" applyBorder="1" applyAlignment="1">
      <alignment wrapText="1"/>
    </xf>
    <xf numFmtId="37" fontId="8" fillId="0" borderId="1" xfId="0" applyNumberFormat="1" applyFont="1" applyBorder="1" applyAlignment="1">
      <alignment horizontal="right" wrapText="1"/>
    </xf>
    <xf numFmtId="0" fontId="14" fillId="0" borderId="3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0" fillId="0" borderId="1" xfId="0" applyBorder="1" applyAlignment="1">
      <alignment vertical="center" wrapText="1"/>
    </xf>
    <xf numFmtId="3" fontId="17" fillId="0" borderId="1" xfId="0" applyNumberFormat="1" applyFont="1" applyBorder="1" applyAlignment="1">
      <alignment horizontal="right" wrapText="1"/>
    </xf>
    <xf numFmtId="3" fontId="17" fillId="0" borderId="2" xfId="0" applyNumberFormat="1" applyFont="1" applyBorder="1" applyAlignment="1">
      <alignment horizontal="right" wrapText="1"/>
    </xf>
    <xf numFmtId="0" fontId="17" fillId="0" borderId="2" xfId="0" applyFont="1" applyBorder="1" applyAlignment="1">
      <alignment horizontal="right" wrapText="1"/>
    </xf>
    <xf numFmtId="3" fontId="12" fillId="0" borderId="1" xfId="0" applyNumberFormat="1" applyFont="1" applyBorder="1" applyAlignment="1">
      <alignment horizontal="right" wrapText="1"/>
    </xf>
    <xf numFmtId="0" fontId="17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 wrapText="1"/>
    </xf>
    <xf numFmtId="3" fontId="12" fillId="0" borderId="2" xfId="0" applyNumberFormat="1" applyFont="1" applyBorder="1" applyAlignment="1">
      <alignment horizontal="right" wrapText="1"/>
    </xf>
    <xf numFmtId="37" fontId="0" fillId="0" borderId="1" xfId="1" applyNumberFormat="1" applyFont="1" applyBorder="1" applyAlignment="1">
      <alignment wrapText="1"/>
    </xf>
    <xf numFmtId="37" fontId="0" fillId="0" borderId="0" xfId="1" applyNumberFormat="1" applyFont="1"/>
    <xf numFmtId="37" fontId="17" fillId="0" borderId="1" xfId="1" applyNumberFormat="1" applyFont="1" applyBorder="1" applyAlignment="1">
      <alignment horizontal="right" wrapText="1"/>
    </xf>
    <xf numFmtId="37" fontId="17" fillId="0" borderId="2" xfId="1" applyNumberFormat="1" applyFont="1" applyBorder="1" applyAlignment="1">
      <alignment horizontal="right" wrapText="1"/>
    </xf>
    <xf numFmtId="37" fontId="12" fillId="0" borderId="1" xfId="1" applyNumberFormat="1" applyFont="1" applyBorder="1" applyAlignment="1">
      <alignment horizontal="right" wrapText="1"/>
    </xf>
    <xf numFmtId="37" fontId="12" fillId="0" borderId="2" xfId="1" applyNumberFormat="1" applyFont="1" applyBorder="1" applyAlignment="1">
      <alignment horizontal="right" wrapText="1"/>
    </xf>
    <xf numFmtId="0" fontId="6" fillId="0" borderId="7" xfId="0" applyFont="1" applyBorder="1"/>
    <xf numFmtId="9" fontId="0" fillId="0" borderId="0" xfId="0" applyNumberFormat="1" applyAlignment="1">
      <alignment horizontal="center"/>
    </xf>
    <xf numFmtId="9" fontId="18" fillId="0" borderId="0" xfId="0" applyNumberFormat="1" applyFont="1" applyAlignment="1">
      <alignment horizontal="center"/>
    </xf>
    <xf numFmtId="37" fontId="18" fillId="0" borderId="0" xfId="1" applyNumberFormat="1" applyFont="1"/>
    <xf numFmtId="37" fontId="0" fillId="0" borderId="8" xfId="0" applyNumberFormat="1" applyBorder="1"/>
    <xf numFmtId="37" fontId="0" fillId="0" borderId="9" xfId="0" applyNumberFormat="1" applyBorder="1"/>
    <xf numFmtId="37" fontId="10" fillId="0" borderId="10" xfId="0" applyNumberFormat="1" applyFont="1" applyBorder="1" applyAlignment="1">
      <alignment horizontal="right" wrapText="1"/>
    </xf>
    <xf numFmtId="0" fontId="10" fillId="0" borderId="3" xfId="0" applyFont="1" applyBorder="1" applyAlignment="1">
      <alignment wrapText="1"/>
    </xf>
    <xf numFmtId="37" fontId="9" fillId="0" borderId="3" xfId="0" applyNumberFormat="1" applyFont="1" applyBorder="1" applyAlignment="1">
      <alignment horizontal="right" wrapText="1"/>
    </xf>
    <xf numFmtId="0" fontId="11" fillId="0" borderId="11" xfId="0" applyFont="1" applyBorder="1" applyAlignment="1">
      <alignment wrapText="1"/>
    </xf>
    <xf numFmtId="0" fontId="0" fillId="0" borderId="12" xfId="0" applyBorder="1"/>
    <xf numFmtId="37" fontId="11" fillId="0" borderId="11" xfId="0" applyNumberFormat="1" applyFont="1" applyBorder="1" applyAlignment="1">
      <alignment horizontal="right" wrapText="1"/>
    </xf>
    <xf numFmtId="37" fontId="0" fillId="0" borderId="3" xfId="0" applyNumberFormat="1" applyBorder="1" applyAlignment="1">
      <alignment wrapText="1"/>
    </xf>
    <xf numFmtId="37" fontId="11" fillId="0" borderId="13" xfId="0" applyNumberFormat="1" applyFont="1" applyBorder="1" applyAlignment="1">
      <alignment horizontal="right" wrapText="1"/>
    </xf>
    <xf numFmtId="37" fontId="9" fillId="0" borderId="0" xfId="0" applyNumberFormat="1" applyFont="1" applyAlignment="1">
      <alignment horizontal="right" wrapText="1"/>
    </xf>
    <xf numFmtId="41" fontId="0" fillId="0" borderId="0" xfId="0" applyNumberFormat="1"/>
    <xf numFmtId="37" fontId="10" fillId="0" borderId="3" xfId="0" applyNumberFormat="1" applyFont="1" applyBorder="1" applyAlignment="1">
      <alignment horizontal="right" wrapText="1"/>
    </xf>
    <xf numFmtId="37" fontId="19" fillId="0" borderId="11" xfId="0" applyNumberFormat="1" applyFont="1" applyBorder="1" applyAlignment="1">
      <alignment horizontal="right" wrapText="1"/>
    </xf>
    <xf numFmtId="37" fontId="10" fillId="0" borderId="2" xfId="0" applyNumberFormat="1" applyFont="1" applyBorder="1" applyAlignment="1">
      <alignment horizontal="right" wrapText="1"/>
    </xf>
    <xf numFmtId="37" fontId="11" fillId="0" borderId="14" xfId="0" applyNumberFormat="1" applyFont="1" applyBorder="1" applyAlignment="1">
      <alignment horizontal="right" wrapText="1"/>
    </xf>
    <xf numFmtId="0" fontId="2" fillId="0" borderId="12" xfId="0" applyFont="1" applyBorder="1"/>
    <xf numFmtId="37" fontId="2" fillId="0" borderId="12" xfId="0" applyNumberFormat="1" applyFont="1" applyBorder="1"/>
    <xf numFmtId="41" fontId="2" fillId="0" borderId="12" xfId="0" applyNumberFormat="1" applyFont="1" applyBorder="1"/>
    <xf numFmtId="37" fontId="12" fillId="0" borderId="15" xfId="1" applyNumberFormat="1" applyFont="1" applyBorder="1" applyAlignment="1">
      <alignment horizontal="right" wrapText="1"/>
    </xf>
    <xf numFmtId="37" fontId="0" fillId="0" borderId="16" xfId="0" applyNumberFormat="1" applyBorder="1"/>
    <xf numFmtId="37" fontId="0" fillId="0" borderId="17" xfId="0" applyNumberFormat="1" applyBorder="1"/>
    <xf numFmtId="0" fontId="3" fillId="2" borderId="0" xfId="0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 wrapText="1"/>
    </xf>
    <xf numFmtId="0" fontId="16" fillId="4" borderId="5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DB90-6F1B-49D0-86B1-1749A6198C67}">
  <dimension ref="A1:O102"/>
  <sheetViews>
    <sheetView tabSelected="1" zoomScale="85" zoomScaleNormal="85" workbookViewId="0">
      <selection activeCell="G80" sqref="G80:O80"/>
    </sheetView>
  </sheetViews>
  <sheetFormatPr defaultRowHeight="15" x14ac:dyDescent="0.25"/>
  <cols>
    <col min="1" max="1" width="33.140625" customWidth="1"/>
    <col min="2" max="2" width="12.7109375" bestFit="1" customWidth="1"/>
    <col min="3" max="3" width="10.28515625" bestFit="1" customWidth="1"/>
    <col min="4" max="4" width="10.42578125" bestFit="1" customWidth="1"/>
    <col min="5" max="5" width="10.5703125" bestFit="1" customWidth="1"/>
    <col min="6" max="6" width="10.28515625" bestFit="1" customWidth="1"/>
    <col min="7" max="7" width="10.7109375" bestFit="1" customWidth="1"/>
    <col min="8" max="8" width="10.28515625" bestFit="1" customWidth="1"/>
    <col min="9" max="9" width="10" bestFit="1" customWidth="1"/>
    <col min="10" max="10" width="10.5703125" bestFit="1" customWidth="1"/>
    <col min="11" max="11" width="10" bestFit="1" customWidth="1"/>
    <col min="12" max="12" width="10.42578125" bestFit="1" customWidth="1"/>
    <col min="13" max="13" width="10.5703125" bestFit="1" customWidth="1"/>
    <col min="14" max="14" width="10.85546875" bestFit="1" customWidth="1"/>
    <col min="15" max="15" width="10.28515625" bestFit="1" customWidth="1"/>
  </cols>
  <sheetData>
    <row r="1" spans="1:15" ht="28.5" x14ac:dyDescent="0.2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ht="15.75" x14ac:dyDescent="0.25">
      <c r="A2" s="4" t="s">
        <v>1</v>
      </c>
      <c r="C2" s="2">
        <v>2018</v>
      </c>
      <c r="D2" s="2">
        <f>+C2+1</f>
        <v>2019</v>
      </c>
      <c r="E2" s="2">
        <f t="shared" ref="E2:O2" si="0">+D2+1</f>
        <v>2020</v>
      </c>
      <c r="F2" s="2">
        <f t="shared" si="0"/>
        <v>2021</v>
      </c>
      <c r="G2" s="2">
        <f t="shared" si="0"/>
        <v>2022</v>
      </c>
      <c r="H2" s="3">
        <f t="shared" si="0"/>
        <v>2023</v>
      </c>
      <c r="I2" s="3">
        <f t="shared" si="0"/>
        <v>2024</v>
      </c>
      <c r="J2" s="3">
        <f t="shared" si="0"/>
        <v>2025</v>
      </c>
      <c r="K2" s="3">
        <f t="shared" si="0"/>
        <v>2026</v>
      </c>
      <c r="L2" s="3">
        <f t="shared" si="0"/>
        <v>2027</v>
      </c>
      <c r="M2" s="3">
        <f t="shared" si="0"/>
        <v>2028</v>
      </c>
      <c r="N2" s="3">
        <f t="shared" si="0"/>
        <v>2029</v>
      </c>
      <c r="O2" s="3">
        <f t="shared" si="0"/>
        <v>2030</v>
      </c>
    </row>
    <row r="3" spans="1:15" x14ac:dyDescent="0.25">
      <c r="A3" s="4" t="s">
        <v>2</v>
      </c>
      <c r="C3" s="5">
        <v>365</v>
      </c>
      <c r="D3" s="5">
        <v>365</v>
      </c>
      <c r="E3" s="5">
        <v>365</v>
      </c>
      <c r="F3" s="5">
        <v>365</v>
      </c>
      <c r="G3" s="5">
        <v>365</v>
      </c>
      <c r="H3" s="5">
        <v>365</v>
      </c>
      <c r="I3" s="5">
        <v>365</v>
      </c>
      <c r="J3" s="5">
        <v>365</v>
      </c>
      <c r="K3" s="5">
        <v>365</v>
      </c>
      <c r="L3" s="5">
        <v>365</v>
      </c>
      <c r="M3" s="5">
        <v>365</v>
      </c>
      <c r="N3" s="5">
        <v>365</v>
      </c>
      <c r="O3" s="5">
        <v>365</v>
      </c>
    </row>
    <row r="4" spans="1:15" x14ac:dyDescent="0.25">
      <c r="A4" s="4" t="s">
        <v>3</v>
      </c>
      <c r="C4" t="str">
        <f>IF(C46=C60,"BALANCE","ERROR")</f>
        <v>BALANCE</v>
      </c>
      <c r="D4" t="str">
        <f t="shared" ref="D4:O4" si="1">IF(D46=D60,"BALANCE","ERROR")</f>
        <v>BALANCE</v>
      </c>
      <c r="E4" t="str">
        <f t="shared" si="1"/>
        <v>BALANCE</v>
      </c>
      <c r="F4" t="str">
        <f t="shared" si="1"/>
        <v>BALANCE</v>
      </c>
      <c r="G4" t="str">
        <f t="shared" si="1"/>
        <v>BALANCE</v>
      </c>
      <c r="H4" t="str">
        <f t="shared" si="1"/>
        <v>BALANCE</v>
      </c>
      <c r="I4" t="str">
        <f t="shared" si="1"/>
        <v>BALANCE</v>
      </c>
      <c r="J4" t="str">
        <f t="shared" si="1"/>
        <v>BALANCE</v>
      </c>
      <c r="K4" t="str">
        <f t="shared" si="1"/>
        <v>BALANCE</v>
      </c>
      <c r="L4" t="str">
        <f t="shared" si="1"/>
        <v>BALANCE</v>
      </c>
      <c r="M4" t="str">
        <f t="shared" si="1"/>
        <v>BALANCE</v>
      </c>
      <c r="N4" t="str">
        <f t="shared" si="1"/>
        <v>BALANCE</v>
      </c>
      <c r="O4" t="str">
        <f t="shared" si="1"/>
        <v>BALANCE</v>
      </c>
    </row>
    <row r="5" spans="1:15" x14ac:dyDescent="0.25">
      <c r="A5" s="4"/>
    </row>
    <row r="6" spans="1:15" ht="15.75" x14ac:dyDescent="0.25">
      <c r="A6" s="7" t="s">
        <v>53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A7" s="4"/>
    </row>
    <row r="8" spans="1:15" x14ac:dyDescent="0.25">
      <c r="A8" s="51" t="s">
        <v>4</v>
      </c>
    </row>
    <row r="9" spans="1:15" x14ac:dyDescent="0.25">
      <c r="A9" t="s">
        <v>55</v>
      </c>
      <c r="C9" s="52"/>
      <c r="D9" s="52">
        <f>D25/C25-1</f>
        <v>0.15762643740135474</v>
      </c>
      <c r="E9" s="52">
        <f t="shared" ref="E9:G9" si="2">E25/D25-1</f>
        <v>0.1122825737174602</v>
      </c>
      <c r="F9" s="52">
        <f t="shared" si="2"/>
        <v>8.3718451406600947E-2</v>
      </c>
      <c r="G9" s="52">
        <f t="shared" si="2"/>
        <v>5.9231001608812672E-2</v>
      </c>
      <c r="H9" s="53">
        <v>0.1</v>
      </c>
      <c r="I9" s="53">
        <v>0.1</v>
      </c>
      <c r="J9" s="53">
        <v>0.1</v>
      </c>
      <c r="K9" s="53">
        <v>0.1</v>
      </c>
      <c r="L9" s="53">
        <v>0.1</v>
      </c>
      <c r="M9" s="53">
        <v>0.1</v>
      </c>
      <c r="N9" s="53">
        <v>0.1</v>
      </c>
      <c r="O9" s="53">
        <v>0.1</v>
      </c>
    </row>
    <row r="10" spans="1:15" x14ac:dyDescent="0.25">
      <c r="A10" t="s">
        <v>56</v>
      </c>
      <c r="C10" s="52">
        <f>C27/C25</f>
        <v>0.61744782220827987</v>
      </c>
      <c r="D10" s="52">
        <f>D27/D25</f>
        <v>0.59348271598665381</v>
      </c>
      <c r="E10" s="52">
        <f t="shared" ref="E10:G10" si="3">E27/E25</f>
        <v>0.62600022840610603</v>
      </c>
      <c r="F10" s="52">
        <f t="shared" si="3"/>
        <v>0.62587026928291922</v>
      </c>
      <c r="G10" s="52">
        <f t="shared" si="3"/>
        <v>0.61988963468017932</v>
      </c>
      <c r="H10" s="53">
        <v>0.63</v>
      </c>
      <c r="I10" s="53">
        <v>0.63</v>
      </c>
      <c r="J10" s="53">
        <v>0.63</v>
      </c>
      <c r="K10" s="53">
        <v>0.63</v>
      </c>
      <c r="L10" s="53">
        <v>0.63</v>
      </c>
      <c r="M10" s="53">
        <v>0.63</v>
      </c>
      <c r="N10" s="53">
        <v>0.63</v>
      </c>
      <c r="O10" s="53">
        <v>0.63</v>
      </c>
    </row>
    <row r="11" spans="1:15" x14ac:dyDescent="0.25">
      <c r="A11" t="s">
        <v>57</v>
      </c>
      <c r="C11" s="52">
        <f>-C29/C25</f>
        <v>0.36654347250678876</v>
      </c>
      <c r="D11" s="52">
        <f>-D29/D25</f>
        <v>0.27761970089595717</v>
      </c>
      <c r="E11" s="52">
        <f t="shared" ref="E11:G11" si="4">-E29/E25</f>
        <v>0.2585480985191671</v>
      </c>
      <c r="F11" s="52">
        <f t="shared" si="4"/>
        <v>0.23901757048215203</v>
      </c>
      <c r="G11" s="52">
        <f t="shared" si="4"/>
        <v>0.24312869763616587</v>
      </c>
      <c r="H11" s="53">
        <v>0.2</v>
      </c>
      <c r="I11" s="53">
        <v>0.2</v>
      </c>
      <c r="J11" s="53">
        <v>0.2</v>
      </c>
      <c r="K11" s="53">
        <v>0.2</v>
      </c>
      <c r="L11" s="53">
        <v>0.2</v>
      </c>
      <c r="M11" s="53">
        <v>0.2</v>
      </c>
      <c r="N11" s="53">
        <v>0.2</v>
      </c>
      <c r="O11" s="53">
        <v>0.2</v>
      </c>
    </row>
    <row r="12" spans="1:15" x14ac:dyDescent="0.25">
      <c r="A12" t="s">
        <v>80</v>
      </c>
      <c r="C12" s="52">
        <f>-C30/C25</f>
        <v>0.1911633515346986</v>
      </c>
      <c r="D12" s="52">
        <f>-D30/D25</f>
        <v>0.15370153955591687</v>
      </c>
      <c r="E12" s="52">
        <f t="shared" ref="E12:G12" si="5">-E30/E25</f>
        <v>0.13099090182344209</v>
      </c>
      <c r="F12" s="52">
        <f t="shared" si="5"/>
        <v>0.1162244188252155</v>
      </c>
      <c r="G12" s="52">
        <f t="shared" si="5"/>
        <v>0.10665408696574961</v>
      </c>
      <c r="H12" s="53">
        <v>0.1</v>
      </c>
      <c r="I12" s="53">
        <v>0.1</v>
      </c>
      <c r="J12" s="53">
        <v>0.1</v>
      </c>
      <c r="K12" s="53">
        <v>0.1</v>
      </c>
      <c r="L12" s="53">
        <v>0.1</v>
      </c>
      <c r="M12" s="53">
        <v>0.1</v>
      </c>
      <c r="N12" s="53">
        <v>0.1</v>
      </c>
      <c r="O12" s="53">
        <v>0.1</v>
      </c>
    </row>
    <row r="13" spans="1:15" x14ac:dyDescent="0.25">
      <c r="A13" t="s">
        <v>58</v>
      </c>
      <c r="C13" s="52">
        <f>-C31/C54</f>
        <v>0.05</v>
      </c>
      <c r="D13" s="52">
        <f>-D31/D54</f>
        <v>0.05</v>
      </c>
      <c r="E13" s="52">
        <f t="shared" ref="E13:G13" si="6">-E31/E54</f>
        <v>0.05</v>
      </c>
      <c r="F13" s="52">
        <f t="shared" si="6"/>
        <v>0.03</v>
      </c>
      <c r="G13" s="52">
        <f t="shared" si="6"/>
        <v>0.03</v>
      </c>
      <c r="H13" s="53">
        <v>0.03</v>
      </c>
      <c r="I13" s="53">
        <v>0.03</v>
      </c>
      <c r="J13" s="53">
        <v>0.03</v>
      </c>
      <c r="K13" s="53">
        <v>0.03</v>
      </c>
      <c r="L13" s="53">
        <v>0.03</v>
      </c>
      <c r="M13" s="53">
        <v>0.03</v>
      </c>
      <c r="N13" s="53">
        <v>0.03</v>
      </c>
      <c r="O13" s="53">
        <v>0.03</v>
      </c>
    </row>
    <row r="14" spans="1:15" x14ac:dyDescent="0.25">
      <c r="A14" t="s">
        <v>59</v>
      </c>
      <c r="C14" s="52">
        <f>-C33/C32</f>
        <v>0.31167779632721204</v>
      </c>
      <c r="D14" s="52">
        <f>-D33/D32</f>
        <v>0.29180251066130097</v>
      </c>
      <c r="E14" s="52">
        <f t="shared" ref="E14:G14" si="7">-E33/E32</f>
        <v>0.28698863251911494</v>
      </c>
      <c r="F14" s="52">
        <f t="shared" si="7"/>
        <v>0.28994112409127759</v>
      </c>
      <c r="G14" s="52">
        <f t="shared" si="7"/>
        <v>0.29121910982044991</v>
      </c>
      <c r="H14" s="53">
        <v>0.3</v>
      </c>
      <c r="I14" s="53">
        <v>0.3</v>
      </c>
      <c r="J14" s="53">
        <v>0.3</v>
      </c>
      <c r="K14" s="53">
        <v>0.3</v>
      </c>
      <c r="L14" s="53">
        <v>0.3</v>
      </c>
      <c r="M14" s="53">
        <v>0.3</v>
      </c>
      <c r="N14" s="53">
        <v>0.3</v>
      </c>
      <c r="O14" s="53">
        <v>0.3</v>
      </c>
    </row>
    <row r="15" spans="1:15" x14ac:dyDescent="0.25">
      <c r="A15" s="4"/>
    </row>
    <row r="16" spans="1:15" x14ac:dyDescent="0.25">
      <c r="A16" s="51" t="s">
        <v>54</v>
      </c>
    </row>
    <row r="17" spans="1:15" x14ac:dyDescent="0.25">
      <c r="A17" t="s">
        <v>60</v>
      </c>
      <c r="C17" s="46">
        <f>C25/C40</f>
        <v>2.241912087912088</v>
      </c>
      <c r="D17" s="46">
        <f t="shared" ref="D17:G17" si="8">D25/D40</f>
        <v>2.788335301062574</v>
      </c>
      <c r="E17" s="46">
        <f t="shared" si="8"/>
        <v>3.2717648524100138</v>
      </c>
      <c r="F17" s="46">
        <f t="shared" si="8"/>
        <v>3.687447378987863</v>
      </c>
      <c r="G17" s="46">
        <f t="shared" si="8"/>
        <v>4.0183310435075779</v>
      </c>
      <c r="H17" s="54">
        <v>4</v>
      </c>
      <c r="I17" s="54">
        <v>4</v>
      </c>
      <c r="J17" s="54">
        <v>4</v>
      </c>
      <c r="K17" s="54">
        <v>4</v>
      </c>
      <c r="L17" s="54">
        <v>4</v>
      </c>
      <c r="M17" s="54">
        <v>4</v>
      </c>
      <c r="N17" s="54">
        <v>4</v>
      </c>
      <c r="O17" s="54">
        <v>4</v>
      </c>
    </row>
    <row r="18" spans="1:15" x14ac:dyDescent="0.25">
      <c r="A18" t="s">
        <v>61</v>
      </c>
      <c r="C18" s="46">
        <f>C43/C25*C3</f>
        <v>18.25</v>
      </c>
      <c r="D18" s="46">
        <f t="shared" ref="D18:G18" si="9">D43/D25*D3</f>
        <v>18.25</v>
      </c>
      <c r="E18" s="46">
        <f t="shared" si="9"/>
        <v>18.25</v>
      </c>
      <c r="F18" s="46">
        <f t="shared" si="9"/>
        <v>18.25</v>
      </c>
      <c r="G18" s="46">
        <f t="shared" si="9"/>
        <v>18.25</v>
      </c>
      <c r="H18" s="54">
        <v>18</v>
      </c>
      <c r="I18" s="54">
        <v>18</v>
      </c>
      <c r="J18" s="54">
        <v>18</v>
      </c>
      <c r="K18" s="54">
        <v>18</v>
      </c>
      <c r="L18" s="54">
        <v>18</v>
      </c>
      <c r="M18" s="54">
        <v>18</v>
      </c>
      <c r="N18" s="54">
        <v>18</v>
      </c>
      <c r="O18" s="54">
        <v>18</v>
      </c>
    </row>
    <row r="19" spans="1:15" x14ac:dyDescent="0.25">
      <c r="A19" t="s">
        <v>62</v>
      </c>
      <c r="C19" s="46">
        <f>C44/-C26*C3</f>
        <v>73</v>
      </c>
      <c r="D19" s="46">
        <f t="shared" ref="D19:G19" si="10">D44/-D26*D3</f>
        <v>73</v>
      </c>
      <c r="E19" s="46">
        <f t="shared" si="10"/>
        <v>73</v>
      </c>
      <c r="F19" s="46">
        <f t="shared" si="10"/>
        <v>72.17752657077402</v>
      </c>
      <c r="G19" s="46">
        <f t="shared" si="10"/>
        <v>72.235735473739311</v>
      </c>
      <c r="H19" s="54">
        <v>72</v>
      </c>
      <c r="I19" s="54">
        <v>72</v>
      </c>
      <c r="J19" s="54">
        <v>72</v>
      </c>
      <c r="K19" s="54">
        <v>72</v>
      </c>
      <c r="L19" s="54">
        <v>72</v>
      </c>
      <c r="M19" s="54">
        <v>72</v>
      </c>
      <c r="N19" s="54">
        <v>72</v>
      </c>
      <c r="O19" s="54">
        <v>72</v>
      </c>
    </row>
    <row r="20" spans="1:15" x14ac:dyDescent="0.25">
      <c r="A20" t="s">
        <v>63</v>
      </c>
      <c r="C20" s="46">
        <f>C57/-C26*C3</f>
        <v>36.5</v>
      </c>
      <c r="D20" s="46">
        <f t="shared" ref="D20:G20" si="11">D57/-D26*D3</f>
        <v>36.5</v>
      </c>
      <c r="E20" s="46">
        <f t="shared" si="11"/>
        <v>36.5</v>
      </c>
      <c r="F20" s="46">
        <f t="shared" si="11"/>
        <v>36.08876328538701</v>
      </c>
      <c r="G20" s="46">
        <f t="shared" si="11"/>
        <v>36.117867736869655</v>
      </c>
      <c r="H20" s="54">
        <v>36</v>
      </c>
      <c r="I20" s="54">
        <v>36</v>
      </c>
      <c r="J20" s="54">
        <v>36</v>
      </c>
      <c r="K20" s="54">
        <v>36</v>
      </c>
      <c r="L20" s="54">
        <v>36</v>
      </c>
      <c r="M20" s="54">
        <v>36</v>
      </c>
      <c r="N20" s="54">
        <v>36</v>
      </c>
      <c r="O20" s="54">
        <v>36</v>
      </c>
    </row>
    <row r="21" spans="1:15" x14ac:dyDescent="0.25">
      <c r="A21" t="s">
        <v>64</v>
      </c>
      <c r="C21" s="46">
        <f>C54</f>
        <v>50000</v>
      </c>
      <c r="D21" s="46">
        <f t="shared" ref="D21:G21" si="12">D54</f>
        <v>50000</v>
      </c>
      <c r="E21" s="46">
        <f t="shared" si="12"/>
        <v>30000</v>
      </c>
      <c r="F21" s="46">
        <f t="shared" si="12"/>
        <v>30000</v>
      </c>
      <c r="G21" s="46">
        <f t="shared" si="12"/>
        <v>30000</v>
      </c>
      <c r="H21" s="54">
        <v>30000</v>
      </c>
      <c r="I21" s="54">
        <v>30000</v>
      </c>
      <c r="J21" s="54">
        <v>30000</v>
      </c>
      <c r="K21" s="54">
        <v>30000</v>
      </c>
      <c r="L21" s="54">
        <v>30000</v>
      </c>
      <c r="M21" s="54">
        <v>30000</v>
      </c>
      <c r="N21" s="54">
        <v>30000</v>
      </c>
      <c r="O21" s="54">
        <v>30000</v>
      </c>
    </row>
    <row r="23" spans="1:15" ht="15.75" x14ac:dyDescent="0.25">
      <c r="A23" s="7" t="s">
        <v>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.75" thickBot="1" x14ac:dyDescent="0.3"/>
    <row r="25" spans="1:15" ht="16.5" thickBot="1" x14ac:dyDescent="0.3">
      <c r="A25" s="10" t="s">
        <v>5</v>
      </c>
      <c r="C25" s="21">
        <v>102007</v>
      </c>
      <c r="D25" s="21">
        <v>118086</v>
      </c>
      <c r="E25" s="21">
        <v>131345</v>
      </c>
      <c r="F25" s="21">
        <v>142341</v>
      </c>
      <c r="G25" s="21">
        <v>150772</v>
      </c>
      <c r="H25" s="22">
        <f>G25*(1+H9)</f>
        <v>165849.20000000001</v>
      </c>
      <c r="I25" s="22">
        <f t="shared" ref="I25:O25" si="13">H25*(1+I9)</f>
        <v>182434.12000000002</v>
      </c>
      <c r="J25" s="22">
        <f t="shared" si="13"/>
        <v>200677.53200000004</v>
      </c>
      <c r="K25" s="22">
        <f t="shared" si="13"/>
        <v>220745.28520000007</v>
      </c>
      <c r="L25" s="22">
        <f t="shared" si="13"/>
        <v>242819.81372000009</v>
      </c>
      <c r="M25" s="22">
        <f t="shared" si="13"/>
        <v>267101.7950920001</v>
      </c>
      <c r="N25" s="22">
        <f t="shared" si="13"/>
        <v>293811.97460120014</v>
      </c>
      <c r="O25" s="22">
        <f t="shared" si="13"/>
        <v>323193.17206132016</v>
      </c>
    </row>
    <row r="26" spans="1:15" ht="16.5" thickBot="1" x14ac:dyDescent="0.3">
      <c r="A26" s="13" t="s">
        <v>6</v>
      </c>
      <c r="C26" s="23">
        <v>-39023</v>
      </c>
      <c r="D26" s="23">
        <v>-48004</v>
      </c>
      <c r="E26" s="23">
        <v>-49123</v>
      </c>
      <c r="F26" s="23">
        <v>-53254</v>
      </c>
      <c r="G26" s="23">
        <v>-57310</v>
      </c>
      <c r="H26" s="55">
        <f>-H25*(1-H10)</f>
        <v>-61364.204000000005</v>
      </c>
      <c r="I26" s="55">
        <f t="shared" ref="I26:O26" si="14">-I25*(1-I10)</f>
        <v>-67500.624400000015</v>
      </c>
      <c r="J26" s="55">
        <f t="shared" si="14"/>
        <v>-74250.686840000009</v>
      </c>
      <c r="K26" s="55">
        <f t="shared" si="14"/>
        <v>-81675.755524000022</v>
      </c>
      <c r="L26" s="55">
        <f t="shared" si="14"/>
        <v>-89843.331076400034</v>
      </c>
      <c r="M26" s="55">
        <f t="shared" si="14"/>
        <v>-98827.664184040041</v>
      </c>
      <c r="N26" s="55">
        <f t="shared" si="14"/>
        <v>-108710.43060244404</v>
      </c>
      <c r="O26" s="55">
        <f t="shared" si="14"/>
        <v>-119581.47366268846</v>
      </c>
    </row>
    <row r="27" spans="1:15" ht="16.5" thickBot="1" x14ac:dyDescent="0.3">
      <c r="A27" s="15" t="s">
        <v>7</v>
      </c>
      <c r="C27" s="24">
        <f>SUM(C25:C26)</f>
        <v>62984</v>
      </c>
      <c r="D27" s="24">
        <f t="shared" ref="D27:G27" si="15">SUM(D25:D26)</f>
        <v>70082</v>
      </c>
      <c r="E27" s="24">
        <f t="shared" si="15"/>
        <v>82222</v>
      </c>
      <c r="F27" s="24">
        <f t="shared" si="15"/>
        <v>89087</v>
      </c>
      <c r="G27" s="24">
        <f t="shared" si="15"/>
        <v>93462</v>
      </c>
      <c r="H27" s="24">
        <f t="shared" ref="H27" si="16">SUM(H25:H26)</f>
        <v>104484.99600000001</v>
      </c>
      <c r="I27" s="24">
        <f t="shared" ref="I27" si="17">SUM(I25:I26)</f>
        <v>114933.49560000001</v>
      </c>
      <c r="J27" s="24">
        <f t="shared" ref="J27" si="18">SUM(J25:J26)</f>
        <v>126426.84516000003</v>
      </c>
      <c r="K27" s="24">
        <f t="shared" ref="K27" si="19">SUM(K25:K26)</f>
        <v>139069.52967600006</v>
      </c>
      <c r="L27" s="24">
        <f t="shared" ref="L27" si="20">SUM(L25:L26)</f>
        <v>152976.48264360006</v>
      </c>
      <c r="M27" s="24">
        <f t="shared" ref="M27" si="21">SUM(M25:M26)</f>
        <v>168274.13090796006</v>
      </c>
      <c r="N27" s="24">
        <f t="shared" ref="N27" si="22">SUM(N25:N26)</f>
        <v>185101.5439987561</v>
      </c>
      <c r="O27" s="24">
        <f t="shared" ref="O27" si="23">SUM(O25:O26)</f>
        <v>203611.69839863171</v>
      </c>
    </row>
    <row r="28" spans="1:15" ht="15.75" thickBot="1" x14ac:dyDescent="0.3">
      <c r="A28" s="9"/>
      <c r="C28" s="25"/>
      <c r="D28" s="25"/>
      <c r="E28" s="25"/>
      <c r="F28" s="25"/>
      <c r="G28" s="25"/>
      <c r="H28" s="22"/>
      <c r="I28" s="22"/>
      <c r="J28" s="22"/>
      <c r="K28" s="22"/>
      <c r="L28" s="22"/>
      <c r="M28" s="22"/>
      <c r="N28" s="22"/>
      <c r="O28" s="22"/>
    </row>
    <row r="29" spans="1:15" ht="16.5" thickBot="1" x14ac:dyDescent="0.3">
      <c r="A29" s="10" t="s">
        <v>8</v>
      </c>
      <c r="C29" s="21">
        <v>-37390</v>
      </c>
      <c r="D29" s="21">
        <v>-32783</v>
      </c>
      <c r="E29" s="21">
        <v>-33959</v>
      </c>
      <c r="F29" s="21">
        <v>-34022</v>
      </c>
      <c r="G29" s="21">
        <v>-36657</v>
      </c>
      <c r="H29" s="22">
        <f>-H25*H11</f>
        <v>-33169.840000000004</v>
      </c>
      <c r="I29" s="22">
        <f t="shared" ref="I29:O29" si="24">-I25*I11</f>
        <v>-36486.824000000008</v>
      </c>
      <c r="J29" s="22">
        <f t="shared" si="24"/>
        <v>-40135.506400000013</v>
      </c>
      <c r="K29" s="22">
        <f t="shared" si="24"/>
        <v>-44149.057040000014</v>
      </c>
      <c r="L29" s="22">
        <f t="shared" si="24"/>
        <v>-48563.962744000019</v>
      </c>
      <c r="M29" s="22">
        <f t="shared" si="24"/>
        <v>-53420.35901840002</v>
      </c>
      <c r="N29" s="22">
        <f t="shared" si="24"/>
        <v>-58762.394920240033</v>
      </c>
      <c r="O29" s="22">
        <f t="shared" si="24"/>
        <v>-64638.634412264037</v>
      </c>
    </row>
    <row r="30" spans="1:15" ht="16.5" thickBot="1" x14ac:dyDescent="0.3">
      <c r="A30" s="10" t="s">
        <v>9</v>
      </c>
      <c r="C30" s="21">
        <v>-19500</v>
      </c>
      <c r="D30" s="21">
        <v>-18150</v>
      </c>
      <c r="E30" s="21">
        <v>-17205</v>
      </c>
      <c r="F30" s="21">
        <v>-16543.5</v>
      </c>
      <c r="G30" s="21">
        <v>-16080.45</v>
      </c>
      <c r="H30" s="22">
        <f>-H25*H12</f>
        <v>-16584.920000000002</v>
      </c>
      <c r="I30" s="22">
        <f t="shared" ref="I30:O30" si="25">-I25*I12</f>
        <v>-18243.412000000004</v>
      </c>
      <c r="J30" s="22">
        <f t="shared" si="25"/>
        <v>-20067.753200000006</v>
      </c>
      <c r="K30" s="22">
        <f t="shared" si="25"/>
        <v>-22074.528520000007</v>
      </c>
      <c r="L30" s="22">
        <f t="shared" si="25"/>
        <v>-24281.981372000009</v>
      </c>
      <c r="M30" s="22">
        <f t="shared" si="25"/>
        <v>-26710.17950920001</v>
      </c>
      <c r="N30" s="22">
        <f t="shared" si="25"/>
        <v>-29381.197460120016</v>
      </c>
      <c r="O30" s="22">
        <f t="shared" si="25"/>
        <v>-32319.317206132018</v>
      </c>
    </row>
    <row r="31" spans="1:15" ht="16.5" thickBot="1" x14ac:dyDescent="0.3">
      <c r="A31" s="13" t="s">
        <v>10</v>
      </c>
      <c r="C31" s="23">
        <v>-2500</v>
      </c>
      <c r="D31" s="23">
        <v>-2500</v>
      </c>
      <c r="E31" s="23">
        <v>-1500</v>
      </c>
      <c r="F31" s="23">
        <v>-900</v>
      </c>
      <c r="G31" s="23">
        <v>-900</v>
      </c>
      <c r="H31" s="55">
        <f>-H21*H13</f>
        <v>-900</v>
      </c>
      <c r="I31" s="56">
        <f t="shared" ref="I31:O31" si="26">-I21*I13</f>
        <v>-900</v>
      </c>
      <c r="J31" s="56">
        <f t="shared" si="26"/>
        <v>-900</v>
      </c>
      <c r="K31" s="56">
        <f t="shared" si="26"/>
        <v>-900</v>
      </c>
      <c r="L31" s="56">
        <f t="shared" si="26"/>
        <v>-900</v>
      </c>
      <c r="M31" s="56">
        <f t="shared" si="26"/>
        <v>-900</v>
      </c>
      <c r="N31" s="56">
        <f t="shared" si="26"/>
        <v>-900</v>
      </c>
      <c r="O31" s="56">
        <f t="shared" si="26"/>
        <v>-900</v>
      </c>
    </row>
    <row r="32" spans="1:15" ht="16.5" thickBot="1" x14ac:dyDescent="0.3">
      <c r="A32" s="10" t="s">
        <v>11</v>
      </c>
      <c r="C32" s="26">
        <f>SUM(C27:C31)</f>
        <v>3594</v>
      </c>
      <c r="D32" s="26">
        <f t="shared" ref="D32:G32" si="27">SUM(D27:D31)</f>
        <v>16649</v>
      </c>
      <c r="E32" s="26">
        <f t="shared" si="27"/>
        <v>29558</v>
      </c>
      <c r="F32" s="26">
        <f t="shared" si="27"/>
        <v>37621.5</v>
      </c>
      <c r="G32" s="26">
        <f t="shared" si="27"/>
        <v>39824.550000000003</v>
      </c>
      <c r="H32" s="57">
        <f t="shared" ref="H32" si="28">SUM(H27:H31)</f>
        <v>53830.236000000019</v>
      </c>
      <c r="I32" s="57">
        <f t="shared" ref="I32" si="29">SUM(I27:I31)</f>
        <v>59303.259599999998</v>
      </c>
      <c r="J32" s="57">
        <f t="shared" ref="J32" si="30">SUM(J27:J31)</f>
        <v>65323.585560000007</v>
      </c>
      <c r="K32" s="57">
        <f t="shared" ref="K32" si="31">SUM(K27:K31)</f>
        <v>71945.944116000042</v>
      </c>
      <c r="L32" s="57">
        <f t="shared" ref="L32" si="32">SUM(L27:L31)</f>
        <v>79230.538527600031</v>
      </c>
      <c r="M32" s="57">
        <f t="shared" ref="M32" si="33">SUM(M27:M31)</f>
        <v>87243.592380360031</v>
      </c>
      <c r="N32" s="57">
        <f t="shared" ref="N32" si="34">SUM(N27:N31)</f>
        <v>96057.951618396037</v>
      </c>
      <c r="O32" s="57">
        <f t="shared" ref="O32" si="35">SUM(O27:O31)</f>
        <v>105753.74678023564</v>
      </c>
    </row>
    <row r="33" spans="1:15" ht="15.75" x14ac:dyDescent="0.25">
      <c r="A33" s="58" t="s">
        <v>12</v>
      </c>
      <c r="C33" s="59">
        <v>-1120.17</v>
      </c>
      <c r="D33" s="59">
        <v>-4858.22</v>
      </c>
      <c r="E33" s="59">
        <v>-8482.81</v>
      </c>
      <c r="F33" s="59">
        <v>-10908.02</v>
      </c>
      <c r="G33" s="59">
        <v>-11597.67</v>
      </c>
      <c r="H33" s="22">
        <f>-H32*H14</f>
        <v>-16149.070800000005</v>
      </c>
      <c r="I33" s="22">
        <f t="shared" ref="I33:O33" si="36">-I32*I14</f>
        <v>-17790.977879999999</v>
      </c>
      <c r="J33" s="22">
        <f t="shared" si="36"/>
        <v>-19597.075668000001</v>
      </c>
      <c r="K33" s="22">
        <f t="shared" si="36"/>
        <v>-21583.783234800012</v>
      </c>
      <c r="L33" s="22">
        <f t="shared" si="36"/>
        <v>-23769.161558280008</v>
      </c>
      <c r="M33" s="22">
        <f t="shared" si="36"/>
        <v>-26173.077714108007</v>
      </c>
      <c r="N33" s="22">
        <f t="shared" si="36"/>
        <v>-28817.385485518811</v>
      </c>
      <c r="O33" s="22">
        <f t="shared" si="36"/>
        <v>-31726.12403407069</v>
      </c>
    </row>
    <row r="34" spans="1:15" ht="16.5" thickBot="1" x14ac:dyDescent="0.3">
      <c r="A34" s="60" t="s">
        <v>13</v>
      </c>
      <c r="B34" s="61"/>
      <c r="C34" s="62">
        <f>SUM(C32:C33)</f>
        <v>2473.83</v>
      </c>
      <c r="D34" s="62">
        <f t="shared" ref="D34:G34" si="37">SUM(D32:D33)</f>
        <v>11790.779999999999</v>
      </c>
      <c r="E34" s="62">
        <f t="shared" si="37"/>
        <v>21075.190000000002</v>
      </c>
      <c r="F34" s="62">
        <f t="shared" si="37"/>
        <v>26713.48</v>
      </c>
      <c r="G34" s="62">
        <f t="shared" si="37"/>
        <v>28226.880000000005</v>
      </c>
      <c r="H34" s="62">
        <f t="shared" ref="H34" si="38">SUM(H32:H33)</f>
        <v>37681.165200000018</v>
      </c>
      <c r="I34" s="62">
        <f t="shared" ref="I34" si="39">SUM(I32:I33)</f>
        <v>41512.281719999999</v>
      </c>
      <c r="J34" s="62">
        <f t="shared" ref="J34" si="40">SUM(J32:J33)</f>
        <v>45726.509892000002</v>
      </c>
      <c r="K34" s="62">
        <f t="shared" ref="K34" si="41">SUM(K32:K33)</f>
        <v>50362.160881200034</v>
      </c>
      <c r="L34" s="62">
        <f t="shared" ref="L34" si="42">SUM(L32:L33)</f>
        <v>55461.376969320023</v>
      </c>
      <c r="M34" s="62">
        <f t="shared" ref="M34" si="43">SUM(M32:M33)</f>
        <v>61070.514666252027</v>
      </c>
      <c r="N34" s="62">
        <f t="shared" ref="N34" si="44">SUM(N32:N33)</f>
        <v>67240.566132877226</v>
      </c>
      <c r="O34" s="62">
        <f t="shared" ref="O34" si="45">SUM(O32:O33)</f>
        <v>74027.622746164954</v>
      </c>
    </row>
    <row r="36" spans="1:15" ht="15.75" x14ac:dyDescent="0.25">
      <c r="A36" s="7" t="s">
        <v>54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5.75" thickBot="1" x14ac:dyDescent="0.3"/>
    <row r="38" spans="1:15" ht="15.75" thickBot="1" x14ac:dyDescent="0.3">
      <c r="A38" s="27" t="s">
        <v>14</v>
      </c>
      <c r="C38" s="25"/>
      <c r="D38" s="25"/>
      <c r="E38" s="25"/>
      <c r="F38" s="25"/>
      <c r="G38" s="25"/>
      <c r="H38" s="22"/>
      <c r="I38" s="22"/>
      <c r="J38" s="22"/>
      <c r="K38" s="22"/>
      <c r="L38" s="22"/>
      <c r="M38" s="22"/>
      <c r="N38" s="22"/>
      <c r="O38" s="22"/>
    </row>
    <row r="39" spans="1:15" ht="16.5" thickBot="1" x14ac:dyDescent="0.3">
      <c r="A39" s="28" t="s">
        <v>15</v>
      </c>
      <c r="C39" s="25"/>
      <c r="D39" s="25"/>
      <c r="E39" s="25"/>
      <c r="F39" s="25"/>
      <c r="G39" s="25"/>
      <c r="H39" s="22"/>
      <c r="I39" s="22"/>
      <c r="J39" s="22"/>
      <c r="K39" s="22"/>
      <c r="L39" s="22"/>
      <c r="M39" s="22"/>
      <c r="N39" s="22"/>
      <c r="O39" s="22"/>
    </row>
    <row r="40" spans="1:15" ht="16.5" thickBot="1" x14ac:dyDescent="0.3">
      <c r="A40" s="29" t="s">
        <v>16</v>
      </c>
      <c r="C40" s="24">
        <v>45500</v>
      </c>
      <c r="D40" s="24">
        <v>42350</v>
      </c>
      <c r="E40" s="24">
        <v>40145</v>
      </c>
      <c r="F40" s="24">
        <v>38601.5</v>
      </c>
      <c r="G40" s="24">
        <v>37521.050000000003</v>
      </c>
      <c r="H40" s="22">
        <f>H91</f>
        <v>41462.300000000003</v>
      </c>
      <c r="I40" s="22">
        <f t="shared" ref="I40:O40" si="46">I91</f>
        <v>45608.530000000006</v>
      </c>
      <c r="J40" s="22">
        <f t="shared" si="46"/>
        <v>50169.383000000009</v>
      </c>
      <c r="K40" s="22">
        <f t="shared" si="46"/>
        <v>55186.321300000018</v>
      </c>
      <c r="L40" s="22">
        <f t="shared" si="46"/>
        <v>60704.953430000023</v>
      </c>
      <c r="M40" s="22">
        <f t="shared" si="46"/>
        <v>66775.448773000026</v>
      </c>
      <c r="N40" s="22">
        <f t="shared" si="46"/>
        <v>73452.993650300035</v>
      </c>
      <c r="O40" s="22">
        <f t="shared" si="46"/>
        <v>80798.29301533004</v>
      </c>
    </row>
    <row r="41" spans="1:15" ht="16.5" thickBot="1" x14ac:dyDescent="0.3">
      <c r="A41" s="28" t="s">
        <v>17</v>
      </c>
      <c r="C41" s="25"/>
      <c r="D41" s="25"/>
      <c r="E41" s="25"/>
      <c r="F41" s="25"/>
      <c r="G41" s="25"/>
      <c r="H41" s="22"/>
      <c r="I41" s="22"/>
      <c r="J41" s="22"/>
      <c r="K41" s="22"/>
      <c r="L41" s="22"/>
      <c r="M41" s="22"/>
      <c r="N41" s="22"/>
      <c r="O41" s="22"/>
    </row>
    <row r="42" spans="1:15" ht="16.5" thickBot="1" x14ac:dyDescent="0.3">
      <c r="A42" s="29" t="s">
        <v>18</v>
      </c>
      <c r="C42" s="23">
        <v>167971.18</v>
      </c>
      <c r="D42" s="23">
        <v>181209.91</v>
      </c>
      <c r="E42" s="23">
        <v>183715.26</v>
      </c>
      <c r="F42" s="23">
        <v>211069.34</v>
      </c>
      <c r="G42" s="81">
        <v>239549.52</v>
      </c>
      <c r="H42" s="75">
        <f>H81</f>
        <v>272267.8106958904</v>
      </c>
      <c r="I42" s="76">
        <f t="shared" ref="I42:O42" si="47">I81</f>
        <v>308210.73996547941</v>
      </c>
      <c r="J42" s="76">
        <f t="shared" si="47"/>
        <v>347810.96216202737</v>
      </c>
      <c r="K42" s="76">
        <f t="shared" si="47"/>
        <v>391434.20657823014</v>
      </c>
      <c r="L42" s="76">
        <f t="shared" si="47"/>
        <v>439482.77543605317</v>
      </c>
      <c r="M42" s="76">
        <f t="shared" si="47"/>
        <v>492399.20117965853</v>
      </c>
      <c r="N42" s="76">
        <f t="shared" si="47"/>
        <v>550670.26949762437</v>
      </c>
      <c r="O42" s="76">
        <f t="shared" si="47"/>
        <v>614831.44464738679</v>
      </c>
    </row>
    <row r="43" spans="1:15" ht="16.5" thickBot="1" x14ac:dyDescent="0.3">
      <c r="A43" s="29" t="s">
        <v>19</v>
      </c>
      <c r="C43" s="24">
        <v>5100.3500000000004</v>
      </c>
      <c r="D43" s="24">
        <v>5904.3</v>
      </c>
      <c r="E43" s="24">
        <v>6567.25</v>
      </c>
      <c r="F43" s="24">
        <v>7117.05</v>
      </c>
      <c r="G43" s="24">
        <v>7538.6</v>
      </c>
      <c r="H43" s="22">
        <f t="shared" ref="H43:O43" si="48">H18*H25/H3</f>
        <v>8178.8646575342473</v>
      </c>
      <c r="I43" s="22">
        <f t="shared" si="48"/>
        <v>8996.7511232876732</v>
      </c>
      <c r="J43" s="22">
        <f t="shared" si="48"/>
        <v>9896.42623561644</v>
      </c>
      <c r="K43" s="22">
        <f t="shared" si="48"/>
        <v>10886.068859178085</v>
      </c>
      <c r="L43" s="22">
        <f t="shared" si="48"/>
        <v>11974.675745095894</v>
      </c>
      <c r="M43" s="22">
        <f t="shared" si="48"/>
        <v>13172.143319605484</v>
      </c>
      <c r="N43" s="22">
        <f t="shared" si="48"/>
        <v>14489.357651566035</v>
      </c>
      <c r="O43" s="22">
        <f t="shared" si="48"/>
        <v>15938.293416722639</v>
      </c>
    </row>
    <row r="44" spans="1:15" ht="16.5" thickBot="1" x14ac:dyDescent="0.3">
      <c r="A44" s="35" t="s">
        <v>20</v>
      </c>
      <c r="C44" s="34">
        <v>7804.6</v>
      </c>
      <c r="D44" s="34">
        <v>9600.7999999999993</v>
      </c>
      <c r="E44" s="34">
        <v>9824.6</v>
      </c>
      <c r="F44" s="34">
        <v>10530.8</v>
      </c>
      <c r="G44" s="34">
        <v>11342</v>
      </c>
      <c r="H44" s="22">
        <f t="shared" ref="H44:O44" si="49">H19*-H26/H3</f>
        <v>12104.719693150686</v>
      </c>
      <c r="I44" s="22">
        <f t="shared" si="49"/>
        <v>13315.191662465755</v>
      </c>
      <c r="J44" s="22">
        <f t="shared" si="49"/>
        <v>14646.71082871233</v>
      </c>
      <c r="K44" s="22">
        <f t="shared" si="49"/>
        <v>16111.381911583567</v>
      </c>
      <c r="L44" s="22">
        <f t="shared" si="49"/>
        <v>17722.520102741924</v>
      </c>
      <c r="M44" s="22">
        <f t="shared" si="49"/>
        <v>19494.772113016119</v>
      </c>
      <c r="N44" s="22">
        <f t="shared" si="49"/>
        <v>21444.24932431773</v>
      </c>
      <c r="O44" s="22">
        <f t="shared" si="49"/>
        <v>23588.674256749502</v>
      </c>
    </row>
    <row r="45" spans="1:15" ht="16.5" thickBot="1" x14ac:dyDescent="0.3">
      <c r="A45" s="30" t="s">
        <v>21</v>
      </c>
      <c r="C45" s="59">
        <f>SUM(C42:C44)</f>
        <v>180876.13</v>
      </c>
      <c r="D45" s="59">
        <f t="shared" ref="D45:G45" si="50">SUM(D42:D44)</f>
        <v>196715.00999999998</v>
      </c>
      <c r="E45" s="59">
        <f t="shared" si="50"/>
        <v>200107.11000000002</v>
      </c>
      <c r="F45" s="59">
        <f t="shared" si="50"/>
        <v>228717.18999999997</v>
      </c>
      <c r="G45" s="59">
        <f t="shared" si="50"/>
        <v>258430.12</v>
      </c>
      <c r="H45" s="67">
        <f t="shared" ref="H45" si="51">SUM(H42:H44)</f>
        <v>292551.39504657529</v>
      </c>
      <c r="I45" s="67">
        <f t="shared" ref="I45" si="52">SUM(I42:I44)</f>
        <v>330522.68275123282</v>
      </c>
      <c r="J45" s="67">
        <f t="shared" ref="J45" si="53">SUM(J42:J44)</f>
        <v>372354.09922635613</v>
      </c>
      <c r="K45" s="67">
        <f t="shared" ref="K45" si="54">SUM(K42:K44)</f>
        <v>418431.65734899184</v>
      </c>
      <c r="L45" s="67">
        <f t="shared" ref="L45" si="55">SUM(L42:L44)</f>
        <v>469179.97128389101</v>
      </c>
      <c r="M45" s="67">
        <f t="shared" ref="M45" si="56">SUM(M42:M44)</f>
        <v>525066.11661228014</v>
      </c>
      <c r="N45" s="67">
        <f t="shared" ref="N45" si="57">SUM(N42:N44)</f>
        <v>586603.87647350808</v>
      </c>
      <c r="O45" s="67">
        <f t="shared" ref="O45" si="58">SUM(O42:O44)</f>
        <v>654358.41232085892</v>
      </c>
    </row>
    <row r="46" spans="1:15" ht="16.5" thickBot="1" x14ac:dyDescent="0.3">
      <c r="A46" s="32" t="s">
        <v>22</v>
      </c>
      <c r="C46" s="68">
        <f>C40+C45</f>
        <v>226376.13</v>
      </c>
      <c r="D46" s="68">
        <f t="shared" ref="D46:G46" si="59">D40+D45</f>
        <v>239065.00999999998</v>
      </c>
      <c r="E46" s="68">
        <f t="shared" si="59"/>
        <v>240252.11000000002</v>
      </c>
      <c r="F46" s="68">
        <f t="shared" si="59"/>
        <v>267318.68999999994</v>
      </c>
      <c r="G46" s="68">
        <f t="shared" si="59"/>
        <v>295951.17</v>
      </c>
      <c r="H46" s="62">
        <f t="shared" ref="H46" si="60">H40+H45</f>
        <v>334013.69504657527</v>
      </c>
      <c r="I46" s="62">
        <f t="shared" ref="I46" si="61">I40+I45</f>
        <v>376131.21275123284</v>
      </c>
      <c r="J46" s="62">
        <f t="shared" ref="J46" si="62">J40+J45</f>
        <v>422523.48222635617</v>
      </c>
      <c r="K46" s="62">
        <f t="shared" ref="K46" si="63">K40+K45</f>
        <v>473617.97864899185</v>
      </c>
      <c r="L46" s="62">
        <f t="shared" ref="L46" si="64">L40+L45</f>
        <v>529884.924713891</v>
      </c>
      <c r="M46" s="62">
        <f t="shared" ref="M46" si="65">M40+M45</f>
        <v>591841.56538528018</v>
      </c>
      <c r="N46" s="62">
        <f t="shared" ref="N46" si="66">N40+N45</f>
        <v>660056.87012380816</v>
      </c>
      <c r="O46" s="62">
        <f t="shared" ref="O46" si="67">O40+O45</f>
        <v>735156.7053361889</v>
      </c>
    </row>
    <row r="47" spans="1:15" ht="15.75" thickBot="1" x14ac:dyDescent="0.3">
      <c r="A47" s="9"/>
      <c r="H47" s="22"/>
      <c r="I47" s="22"/>
      <c r="J47" s="22"/>
      <c r="K47" s="22"/>
      <c r="L47" s="22"/>
      <c r="M47" s="22"/>
      <c r="N47" s="22"/>
      <c r="O47" s="22"/>
    </row>
    <row r="48" spans="1:15" ht="15.75" thickBot="1" x14ac:dyDescent="0.3">
      <c r="A48" s="33" t="s">
        <v>23</v>
      </c>
      <c r="C48" s="63"/>
      <c r="D48" s="63"/>
      <c r="E48" s="63"/>
      <c r="F48" s="63"/>
      <c r="G48" s="63"/>
      <c r="H48" s="22"/>
      <c r="I48" s="22"/>
      <c r="J48" s="22"/>
      <c r="K48" s="22"/>
      <c r="L48" s="22"/>
      <c r="M48" s="22"/>
      <c r="N48" s="22"/>
      <c r="O48" s="22"/>
    </row>
    <row r="49" spans="1:15" ht="16.5" thickBot="1" x14ac:dyDescent="0.3">
      <c r="A49" s="29" t="s">
        <v>24</v>
      </c>
      <c r="C49" s="65">
        <v>170000</v>
      </c>
      <c r="D49" s="65">
        <v>170000</v>
      </c>
      <c r="E49" s="65">
        <v>170000</v>
      </c>
      <c r="F49" s="65">
        <v>170000</v>
      </c>
      <c r="G49" s="65">
        <v>170000</v>
      </c>
      <c r="H49" s="22">
        <f>G49</f>
        <v>170000</v>
      </c>
      <c r="I49" s="22">
        <f t="shared" ref="I49:O49" si="68">H49</f>
        <v>170000</v>
      </c>
      <c r="J49" s="22">
        <f t="shared" si="68"/>
        <v>170000</v>
      </c>
      <c r="K49" s="22">
        <f t="shared" si="68"/>
        <v>170000</v>
      </c>
      <c r="L49" s="22">
        <f t="shared" si="68"/>
        <v>170000</v>
      </c>
      <c r="M49" s="22">
        <f t="shared" si="68"/>
        <v>170000</v>
      </c>
      <c r="N49" s="22">
        <f t="shared" si="68"/>
        <v>170000</v>
      </c>
      <c r="O49" s="22">
        <f t="shared" si="68"/>
        <v>170000</v>
      </c>
    </row>
    <row r="50" spans="1:15" ht="16.5" thickBot="1" x14ac:dyDescent="0.3">
      <c r="A50" s="30" t="s">
        <v>25</v>
      </c>
      <c r="C50" s="64">
        <v>2473.83</v>
      </c>
      <c r="D50" s="64">
        <v>14264.61</v>
      </c>
      <c r="E50" s="64">
        <v>35339.81</v>
      </c>
      <c r="F50" s="64">
        <v>62053.29</v>
      </c>
      <c r="G50" s="64">
        <v>90280.17</v>
      </c>
      <c r="H50" s="64">
        <f>H96</f>
        <v>127961.33520000002</v>
      </c>
      <c r="I50" s="64">
        <f t="shared" ref="I50:O50" si="69">I96</f>
        <v>169473.61692</v>
      </c>
      <c r="J50" s="64">
        <f t="shared" si="69"/>
        <v>215200.126812</v>
      </c>
      <c r="K50" s="64">
        <f t="shared" si="69"/>
        <v>265562.28769320005</v>
      </c>
      <c r="L50" s="64">
        <f t="shared" si="69"/>
        <v>321023.66466252005</v>
      </c>
      <c r="M50" s="64">
        <f t="shared" si="69"/>
        <v>382094.17932877206</v>
      </c>
      <c r="N50" s="64">
        <f t="shared" si="69"/>
        <v>449334.74546164926</v>
      </c>
      <c r="O50" s="64">
        <f t="shared" si="69"/>
        <v>523362.36820781423</v>
      </c>
    </row>
    <row r="51" spans="1:15" ht="16.5" thickBot="1" x14ac:dyDescent="0.3">
      <c r="A51" s="27" t="s">
        <v>26</v>
      </c>
      <c r="C51" s="24">
        <f>SUM(C49:C50)</f>
        <v>172473.83</v>
      </c>
      <c r="D51" s="24">
        <f>SUM(D49:D50)</f>
        <v>184264.61</v>
      </c>
      <c r="E51" s="24">
        <f>SUM(E49:E50)</f>
        <v>205339.81</v>
      </c>
      <c r="F51" s="24">
        <f>SUM(F49:F50)</f>
        <v>232053.29</v>
      </c>
      <c r="G51" s="24">
        <f>SUM(G49:G50)</f>
        <v>260280.16999999998</v>
      </c>
      <c r="H51" s="24">
        <f t="shared" ref="H51:O51" si="70">SUM(H49:H50)</f>
        <v>297961.33520000003</v>
      </c>
      <c r="I51" s="24">
        <f t="shared" si="70"/>
        <v>339473.61692</v>
      </c>
      <c r="J51" s="24">
        <f t="shared" si="70"/>
        <v>385200.126812</v>
      </c>
      <c r="K51" s="24">
        <f t="shared" si="70"/>
        <v>435562.28769320005</v>
      </c>
      <c r="L51" s="24">
        <f t="shared" si="70"/>
        <v>491023.66466252005</v>
      </c>
      <c r="M51" s="24">
        <f t="shared" si="70"/>
        <v>552094.17932877201</v>
      </c>
      <c r="N51" s="24">
        <f t="shared" si="70"/>
        <v>619334.74546164926</v>
      </c>
      <c r="O51" s="24">
        <f t="shared" si="70"/>
        <v>693362.36820781417</v>
      </c>
    </row>
    <row r="52" spans="1:15" ht="16.5" thickBot="1" x14ac:dyDescent="0.3">
      <c r="A52" s="27"/>
      <c r="C52" s="24"/>
      <c r="D52" s="24"/>
      <c r="E52" s="24"/>
      <c r="F52" s="24"/>
      <c r="G52" s="24"/>
      <c r="H52" s="22"/>
      <c r="I52" s="22"/>
      <c r="J52" s="22"/>
      <c r="K52" s="22"/>
      <c r="L52" s="22"/>
      <c r="M52" s="22"/>
      <c r="N52" s="22"/>
      <c r="O52" s="22"/>
    </row>
    <row r="53" spans="1:15" ht="15.75" thickBot="1" x14ac:dyDescent="0.3">
      <c r="A53" s="33" t="s">
        <v>27</v>
      </c>
      <c r="C53" s="25"/>
      <c r="D53" s="25"/>
      <c r="E53" s="25"/>
      <c r="F53" s="25"/>
      <c r="G53" s="25"/>
      <c r="H53" s="22"/>
      <c r="I53" s="22"/>
      <c r="J53" s="22"/>
      <c r="K53" s="22"/>
      <c r="L53" s="22"/>
      <c r="M53" s="22"/>
      <c r="N53" s="22"/>
      <c r="O53" s="22"/>
    </row>
    <row r="54" spans="1:15" ht="16.5" thickBot="1" x14ac:dyDescent="0.3">
      <c r="A54" s="30" t="s">
        <v>28</v>
      </c>
      <c r="C54" s="23">
        <v>50000</v>
      </c>
      <c r="D54" s="23">
        <v>50000</v>
      </c>
      <c r="E54" s="23">
        <v>30000</v>
      </c>
      <c r="F54" s="23">
        <v>30000</v>
      </c>
      <c r="G54" s="23">
        <v>30000</v>
      </c>
      <c r="H54" s="22">
        <f>H21</f>
        <v>30000</v>
      </c>
      <c r="I54" s="22">
        <f t="shared" ref="I54:O54" si="71">I21</f>
        <v>30000</v>
      </c>
      <c r="J54" s="22">
        <f t="shared" si="71"/>
        <v>30000</v>
      </c>
      <c r="K54" s="22">
        <f t="shared" si="71"/>
        <v>30000</v>
      </c>
      <c r="L54" s="22">
        <f t="shared" si="71"/>
        <v>30000</v>
      </c>
      <c r="M54" s="22">
        <f t="shared" si="71"/>
        <v>30000</v>
      </c>
      <c r="N54" s="22">
        <f t="shared" si="71"/>
        <v>30000</v>
      </c>
      <c r="O54" s="22">
        <f t="shared" si="71"/>
        <v>30000</v>
      </c>
    </row>
    <row r="55" spans="1:15" ht="16.5" thickBot="1" x14ac:dyDescent="0.3">
      <c r="A55" s="10" t="s">
        <v>29</v>
      </c>
      <c r="C55" s="24">
        <f>SUM(C54)</f>
        <v>50000</v>
      </c>
      <c r="D55" s="24">
        <f t="shared" ref="D55:G55" si="72">SUM(D54)</f>
        <v>50000</v>
      </c>
      <c r="E55" s="24">
        <f t="shared" si="72"/>
        <v>30000</v>
      </c>
      <c r="F55" s="24">
        <f t="shared" si="72"/>
        <v>30000</v>
      </c>
      <c r="G55" s="24">
        <f t="shared" si="72"/>
        <v>30000</v>
      </c>
      <c r="H55" s="24">
        <f t="shared" ref="H55" si="73">SUM(H54)</f>
        <v>30000</v>
      </c>
      <c r="I55" s="24">
        <f t="shared" ref="I55" si="74">SUM(I54)</f>
        <v>30000</v>
      </c>
      <c r="J55" s="24">
        <f t="shared" ref="J55" si="75">SUM(J54)</f>
        <v>30000</v>
      </c>
      <c r="K55" s="24">
        <f t="shared" ref="K55" si="76">SUM(K54)</f>
        <v>30000</v>
      </c>
      <c r="L55" s="24">
        <f t="shared" ref="L55" si="77">SUM(L54)</f>
        <v>30000</v>
      </c>
      <c r="M55" s="24">
        <f t="shared" ref="M55" si="78">SUM(M54)</f>
        <v>30000</v>
      </c>
      <c r="N55" s="24">
        <f t="shared" ref="N55" si="79">SUM(N54)</f>
        <v>30000</v>
      </c>
      <c r="O55" s="24">
        <f t="shared" ref="O55" si="80">SUM(O54)</f>
        <v>30000</v>
      </c>
    </row>
    <row r="56" spans="1:15" ht="15.75" thickBot="1" x14ac:dyDescent="0.3">
      <c r="A56" s="33" t="s">
        <v>30</v>
      </c>
      <c r="C56" s="25"/>
      <c r="D56" s="25"/>
      <c r="E56" s="25"/>
      <c r="F56" s="25"/>
      <c r="G56" s="25"/>
      <c r="H56" s="22"/>
      <c r="I56" s="22"/>
      <c r="J56" s="22"/>
      <c r="K56" s="22"/>
      <c r="L56" s="22"/>
      <c r="M56" s="22"/>
      <c r="N56" s="22"/>
      <c r="O56" s="22"/>
    </row>
    <row r="57" spans="1:15" ht="16.5" thickBot="1" x14ac:dyDescent="0.3">
      <c r="A57" s="30" t="s">
        <v>31</v>
      </c>
      <c r="C57" s="21">
        <v>3902.3</v>
      </c>
      <c r="D57" s="21">
        <v>4800.3999999999996</v>
      </c>
      <c r="E57" s="21">
        <v>4912.3</v>
      </c>
      <c r="F57" s="21">
        <v>5265.4</v>
      </c>
      <c r="G57" s="21">
        <v>5671</v>
      </c>
      <c r="H57" s="22">
        <f>H20*-H26/H3</f>
        <v>6052.359846575343</v>
      </c>
      <c r="I57" s="22">
        <f t="shared" ref="I57:O57" si="81">I20*-I26/I3</f>
        <v>6657.5958312328776</v>
      </c>
      <c r="J57" s="22">
        <f t="shared" si="81"/>
        <v>7323.3554143561651</v>
      </c>
      <c r="K57" s="22">
        <f t="shared" si="81"/>
        <v>8055.6909557917834</v>
      </c>
      <c r="L57" s="22">
        <f t="shared" si="81"/>
        <v>8861.2600513709622</v>
      </c>
      <c r="M57" s="22">
        <f t="shared" si="81"/>
        <v>9747.3860565080595</v>
      </c>
      <c r="N57" s="22">
        <f t="shared" si="81"/>
        <v>10722.124662158865</v>
      </c>
      <c r="O57" s="22">
        <f t="shared" si="81"/>
        <v>11794.337128374751</v>
      </c>
    </row>
    <row r="58" spans="1:15" ht="16.5" thickBot="1" x14ac:dyDescent="0.3">
      <c r="A58" s="29" t="s">
        <v>32</v>
      </c>
      <c r="C58" s="21">
        <f>SUM(C57)</f>
        <v>3902.3</v>
      </c>
      <c r="D58" s="21">
        <f t="shared" ref="D58:G58" si="82">SUM(D57)</f>
        <v>4800.3999999999996</v>
      </c>
      <c r="E58" s="21">
        <f t="shared" si="82"/>
        <v>4912.3</v>
      </c>
      <c r="F58" s="21">
        <f t="shared" si="82"/>
        <v>5265.4</v>
      </c>
      <c r="G58" s="21">
        <f t="shared" si="82"/>
        <v>5671</v>
      </c>
      <c r="H58" s="26">
        <f t="shared" ref="H58" si="83">SUM(H57)</f>
        <v>6052.359846575343</v>
      </c>
      <c r="I58" s="26">
        <f t="shared" ref="I58" si="84">SUM(I57)</f>
        <v>6657.5958312328776</v>
      </c>
      <c r="J58" s="26">
        <f t="shared" ref="J58" si="85">SUM(J57)</f>
        <v>7323.3554143561651</v>
      </c>
      <c r="K58" s="26">
        <f t="shared" ref="K58" si="86">SUM(K57)</f>
        <v>8055.6909557917834</v>
      </c>
      <c r="L58" s="26">
        <f t="shared" ref="L58" si="87">SUM(L57)</f>
        <v>8861.2600513709622</v>
      </c>
      <c r="M58" s="26">
        <f t="shared" ref="M58" si="88">SUM(M57)</f>
        <v>9747.3860565080595</v>
      </c>
      <c r="N58" s="26">
        <f t="shared" ref="N58" si="89">SUM(N57)</f>
        <v>10722.124662158865</v>
      </c>
      <c r="O58" s="26">
        <f t="shared" ref="O58" si="90">SUM(O57)</f>
        <v>11794.337128374751</v>
      </c>
    </row>
    <row r="59" spans="1:15" ht="16.5" thickBot="1" x14ac:dyDescent="0.3">
      <c r="A59" s="32" t="s">
        <v>33</v>
      </c>
      <c r="C59" s="23">
        <f>SUM(C58+C55)</f>
        <v>53902.3</v>
      </c>
      <c r="D59" s="23">
        <f t="shared" ref="D59:G59" si="91">SUM(D58+D55)</f>
        <v>54800.4</v>
      </c>
      <c r="E59" s="23">
        <f t="shared" si="91"/>
        <v>34912.300000000003</v>
      </c>
      <c r="F59" s="23">
        <f t="shared" si="91"/>
        <v>35265.4</v>
      </c>
      <c r="G59" s="23">
        <f t="shared" si="91"/>
        <v>35671</v>
      </c>
      <c r="H59" s="69">
        <f t="shared" ref="H59" si="92">SUM(H58+H55)</f>
        <v>36052.359846575346</v>
      </c>
      <c r="I59" s="69">
        <f t="shared" ref="I59" si="93">SUM(I58+I55)</f>
        <v>36657.59583123288</v>
      </c>
      <c r="J59" s="69">
        <f t="shared" ref="J59" si="94">SUM(J58+J55)</f>
        <v>37323.355414356163</v>
      </c>
      <c r="K59" s="69">
        <f t="shared" ref="K59" si="95">SUM(K58+K55)</f>
        <v>38055.690955791782</v>
      </c>
      <c r="L59" s="69">
        <f t="shared" ref="L59" si="96">SUM(L58+L55)</f>
        <v>38861.260051370962</v>
      </c>
      <c r="M59" s="69">
        <f t="shared" ref="M59" si="97">SUM(M58+M55)</f>
        <v>39747.386056508061</v>
      </c>
      <c r="N59" s="69">
        <f t="shared" ref="N59" si="98">SUM(N58+N55)</f>
        <v>40722.124662158865</v>
      </c>
      <c r="O59" s="69">
        <f t="shared" ref="O59" si="99">SUM(O58+O55)</f>
        <v>41794.337128374755</v>
      </c>
    </row>
    <row r="60" spans="1:15" ht="30.75" thickBot="1" x14ac:dyDescent="0.3">
      <c r="A60" s="32" t="s">
        <v>34</v>
      </c>
      <c r="C60" s="70">
        <f>SUM(C59+C51)</f>
        <v>226376.13</v>
      </c>
      <c r="D60" s="70">
        <f t="shared" ref="D60:G60" si="100">SUM(D59+D51)</f>
        <v>239065.00999999998</v>
      </c>
      <c r="E60" s="70">
        <f t="shared" si="100"/>
        <v>240252.11</v>
      </c>
      <c r="F60" s="70">
        <f t="shared" si="100"/>
        <v>267318.69</v>
      </c>
      <c r="G60" s="70">
        <f t="shared" si="100"/>
        <v>295951.17</v>
      </c>
      <c r="H60" s="70">
        <f t="shared" ref="H60" si="101">SUM(H59+H51)</f>
        <v>334013.69504657539</v>
      </c>
      <c r="I60" s="70">
        <f t="shared" ref="I60" si="102">SUM(I59+I51)</f>
        <v>376131.2127512329</v>
      </c>
      <c r="J60" s="70">
        <f t="shared" ref="J60" si="103">SUM(J59+J51)</f>
        <v>422523.48222635617</v>
      </c>
      <c r="K60" s="70">
        <f t="shared" ref="K60" si="104">SUM(K59+K51)</f>
        <v>473617.97864899185</v>
      </c>
      <c r="L60" s="70">
        <f t="shared" ref="L60" si="105">SUM(L59+L51)</f>
        <v>529884.924713891</v>
      </c>
      <c r="M60" s="70">
        <f t="shared" ref="M60" si="106">SUM(M59+M51)</f>
        <v>591841.56538528006</v>
      </c>
      <c r="N60" s="70">
        <f t="shared" ref="N60" si="107">SUM(N59+N51)</f>
        <v>660056.87012380816</v>
      </c>
      <c r="O60" s="70">
        <f t="shared" ref="O60" si="108">SUM(O59+O51)</f>
        <v>735156.7053361889</v>
      </c>
    </row>
    <row r="62" spans="1:15" ht="16.5" thickBot="1" x14ac:dyDescent="0.3">
      <c r="A62" s="7" t="s">
        <v>52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5.75" thickBot="1" x14ac:dyDescent="0.3">
      <c r="A63" s="27" t="s">
        <v>38</v>
      </c>
      <c r="C63" s="45"/>
      <c r="D63" s="45"/>
      <c r="E63" s="45"/>
      <c r="F63" s="45"/>
      <c r="G63" s="45"/>
      <c r="H63" s="46"/>
      <c r="I63" s="46"/>
      <c r="J63" s="46"/>
      <c r="K63" s="46"/>
      <c r="L63" s="46"/>
      <c r="M63" s="46"/>
      <c r="N63" s="46"/>
      <c r="O63" s="46"/>
    </row>
    <row r="64" spans="1:15" ht="15.75" thickBot="1" x14ac:dyDescent="0.3">
      <c r="A64" s="29" t="s">
        <v>13</v>
      </c>
      <c r="C64" s="47">
        <v>2474</v>
      </c>
      <c r="D64" s="47">
        <v>11791</v>
      </c>
      <c r="E64" s="47">
        <v>21075</v>
      </c>
      <c r="F64" s="47">
        <v>26713</v>
      </c>
      <c r="G64" s="47">
        <v>28227</v>
      </c>
      <c r="H64" s="46">
        <f>H34</f>
        <v>37681.165200000018</v>
      </c>
      <c r="I64" s="46">
        <f t="shared" ref="I64:O64" si="109">I34</f>
        <v>41512.281719999999</v>
      </c>
      <c r="J64" s="46">
        <f t="shared" si="109"/>
        <v>45726.509892000002</v>
      </c>
      <c r="K64" s="46">
        <f t="shared" si="109"/>
        <v>50362.160881200034</v>
      </c>
      <c r="L64" s="46">
        <f t="shared" si="109"/>
        <v>55461.376969320023</v>
      </c>
      <c r="M64" s="46">
        <f t="shared" si="109"/>
        <v>61070.514666252027</v>
      </c>
      <c r="N64" s="46">
        <f t="shared" si="109"/>
        <v>67240.566132877226</v>
      </c>
      <c r="O64" s="46">
        <f t="shared" si="109"/>
        <v>74027.622746164954</v>
      </c>
    </row>
    <row r="65" spans="1:15" ht="15.75" thickBot="1" x14ac:dyDescent="0.3">
      <c r="A65" s="29" t="s">
        <v>39</v>
      </c>
      <c r="C65" s="45"/>
      <c r="D65" s="45"/>
      <c r="E65" s="45"/>
      <c r="F65" s="45"/>
      <c r="G65" s="45"/>
      <c r="H65" s="46"/>
      <c r="I65" s="46"/>
      <c r="J65" s="46"/>
      <c r="K65" s="46"/>
      <c r="L65" s="46"/>
      <c r="M65" s="46"/>
      <c r="N65" s="46"/>
      <c r="O65" s="46"/>
    </row>
    <row r="66" spans="1:15" ht="15.75" thickBot="1" x14ac:dyDescent="0.3">
      <c r="A66" s="29" t="s">
        <v>9</v>
      </c>
      <c r="C66" s="47">
        <v>19500</v>
      </c>
      <c r="D66" s="47">
        <v>18150</v>
      </c>
      <c r="E66" s="47">
        <v>17205</v>
      </c>
      <c r="F66" s="47">
        <v>16544</v>
      </c>
      <c r="G66" s="47">
        <v>16080</v>
      </c>
      <c r="H66" s="46">
        <f>H90</f>
        <v>16584.920000000002</v>
      </c>
      <c r="I66" s="46">
        <f t="shared" ref="I66:O66" si="110">I90</f>
        <v>18243.412000000004</v>
      </c>
      <c r="J66" s="46">
        <f t="shared" si="110"/>
        <v>20067.753200000006</v>
      </c>
      <c r="K66" s="46">
        <f t="shared" si="110"/>
        <v>22074.528520000007</v>
      </c>
      <c r="L66" s="46">
        <f t="shared" si="110"/>
        <v>24281.981372000009</v>
      </c>
      <c r="M66" s="46">
        <f t="shared" si="110"/>
        <v>26710.17950920001</v>
      </c>
      <c r="N66" s="46">
        <f t="shared" si="110"/>
        <v>29381.197460120016</v>
      </c>
      <c r="O66" s="46">
        <f t="shared" si="110"/>
        <v>32319.317206132018</v>
      </c>
    </row>
    <row r="67" spans="1:15" ht="30.75" thickBot="1" x14ac:dyDescent="0.3">
      <c r="A67" s="30" t="s">
        <v>40</v>
      </c>
      <c r="C67" s="48">
        <v>-9003</v>
      </c>
      <c r="D67" s="48">
        <v>-1702</v>
      </c>
      <c r="E67" s="48">
        <v>-775</v>
      </c>
      <c r="F67" s="48">
        <v>-903</v>
      </c>
      <c r="G67" s="48">
        <v>-827</v>
      </c>
      <c r="H67" s="46">
        <f>H102</f>
        <v>-1021.6245041095899</v>
      </c>
      <c r="I67" s="46">
        <f t="shared" ref="I67:O67" si="111">I102</f>
        <v>-1423.1224504109605</v>
      </c>
      <c r="J67" s="46">
        <f t="shared" si="111"/>
        <v>-1565.4346954520543</v>
      </c>
      <c r="K67" s="46">
        <f t="shared" si="111"/>
        <v>-1721.9781649972638</v>
      </c>
      <c r="L67" s="46">
        <f t="shared" si="111"/>
        <v>-1894.1759814969873</v>
      </c>
      <c r="M67" s="46">
        <f t="shared" si="111"/>
        <v>-2083.5935796466874</v>
      </c>
      <c r="N67" s="46">
        <f t="shared" si="111"/>
        <v>-2291.9529376113569</v>
      </c>
      <c r="O67" s="46">
        <f t="shared" si="111"/>
        <v>-2521.14823137249</v>
      </c>
    </row>
    <row r="68" spans="1:15" ht="30.75" thickBot="1" x14ac:dyDescent="0.3">
      <c r="A68" s="27" t="s">
        <v>41</v>
      </c>
      <c r="C68" s="49">
        <f>SUM(C64:C67)</f>
        <v>12971</v>
      </c>
      <c r="D68" s="49">
        <f t="shared" ref="D68:G68" si="112">SUM(D64:D67)</f>
        <v>28239</v>
      </c>
      <c r="E68" s="49">
        <f t="shared" si="112"/>
        <v>37505</v>
      </c>
      <c r="F68" s="49">
        <f t="shared" si="112"/>
        <v>42354</v>
      </c>
      <c r="G68" s="49">
        <f t="shared" si="112"/>
        <v>43480</v>
      </c>
      <c r="H68" s="49">
        <f t="shared" ref="H68" si="113">SUM(H64:H67)</f>
        <v>53244.460695890426</v>
      </c>
      <c r="I68" s="49">
        <f t="shared" ref="I68" si="114">SUM(I64:I67)</f>
        <v>58332.57126958904</v>
      </c>
      <c r="J68" s="49">
        <f t="shared" ref="J68" si="115">SUM(J64:J67)</f>
        <v>64228.828396547957</v>
      </c>
      <c r="K68" s="49">
        <f t="shared" ref="K68" si="116">SUM(K64:K67)</f>
        <v>70714.711236202784</v>
      </c>
      <c r="L68" s="49">
        <f t="shared" ref="L68" si="117">SUM(L64:L67)</f>
        <v>77849.182359823055</v>
      </c>
      <c r="M68" s="49">
        <f t="shared" ref="M68" si="118">SUM(M64:M67)</f>
        <v>85697.100595805357</v>
      </c>
      <c r="N68" s="49">
        <f t="shared" ref="N68" si="119">SUM(N64:N67)</f>
        <v>94329.810655385896</v>
      </c>
      <c r="O68" s="49">
        <f t="shared" ref="O68" si="120">SUM(O64:O67)</f>
        <v>103825.79172092449</v>
      </c>
    </row>
    <row r="69" spans="1:15" ht="15.75" thickBot="1" x14ac:dyDescent="0.3">
      <c r="A69" s="9"/>
      <c r="C69" s="45"/>
      <c r="D69" s="45"/>
      <c r="E69" s="45"/>
      <c r="F69" s="45"/>
      <c r="G69" s="45"/>
      <c r="H69" s="46"/>
      <c r="I69" s="46"/>
      <c r="J69" s="46"/>
      <c r="K69" s="46"/>
      <c r="L69" s="46"/>
      <c r="M69" s="46"/>
      <c r="N69" s="46"/>
      <c r="O69" s="46"/>
    </row>
    <row r="70" spans="1:15" ht="15.75" thickBot="1" x14ac:dyDescent="0.3">
      <c r="A70" s="27" t="s">
        <v>42</v>
      </c>
      <c r="C70" s="45"/>
      <c r="D70" s="45"/>
      <c r="E70" s="45"/>
      <c r="F70" s="45"/>
      <c r="G70" s="45"/>
      <c r="H70" s="46"/>
      <c r="I70" s="46"/>
      <c r="J70" s="46"/>
      <c r="K70" s="46"/>
      <c r="L70" s="46"/>
      <c r="M70" s="46"/>
      <c r="N70" s="46"/>
      <c r="O70" s="46"/>
    </row>
    <row r="71" spans="1:15" ht="15.75" thickBot="1" x14ac:dyDescent="0.3">
      <c r="A71" s="30" t="s">
        <v>43</v>
      </c>
      <c r="C71" s="48">
        <v>-15000</v>
      </c>
      <c r="D71" s="48">
        <v>-15000</v>
      </c>
      <c r="E71" s="48">
        <v>-15000</v>
      </c>
      <c r="F71" s="48">
        <v>-15000</v>
      </c>
      <c r="G71" s="48">
        <v>-15000</v>
      </c>
      <c r="H71" s="46">
        <f>-H89</f>
        <v>-20526.169999999998</v>
      </c>
      <c r="I71" s="46">
        <f t="shared" ref="I71:O71" si="121">-I89</f>
        <v>-22389.642000000007</v>
      </c>
      <c r="J71" s="46">
        <f t="shared" si="121"/>
        <v>-24628.606200000002</v>
      </c>
      <c r="K71" s="46">
        <f t="shared" si="121"/>
        <v>-27091.466820000023</v>
      </c>
      <c r="L71" s="46">
        <f t="shared" si="121"/>
        <v>-29800.613502000015</v>
      </c>
      <c r="M71" s="46">
        <f t="shared" si="121"/>
        <v>-32780.674852200013</v>
      </c>
      <c r="N71" s="46">
        <f t="shared" si="121"/>
        <v>-36058.74233742003</v>
      </c>
      <c r="O71" s="46">
        <f t="shared" si="121"/>
        <v>-39664.616571162027</v>
      </c>
    </row>
    <row r="72" spans="1:15" ht="30.75" thickBot="1" x14ac:dyDescent="0.3">
      <c r="A72" s="27" t="s">
        <v>44</v>
      </c>
      <c r="C72" s="49">
        <f>C71</f>
        <v>-15000</v>
      </c>
      <c r="D72" s="49">
        <f t="shared" ref="D72:G72" si="122">D71</f>
        <v>-15000</v>
      </c>
      <c r="E72" s="49">
        <f t="shared" si="122"/>
        <v>-15000</v>
      </c>
      <c r="F72" s="49">
        <f t="shared" si="122"/>
        <v>-15000</v>
      </c>
      <c r="G72" s="49">
        <f t="shared" si="122"/>
        <v>-15000</v>
      </c>
      <c r="H72" s="49">
        <f t="shared" ref="H72" si="123">H71</f>
        <v>-20526.169999999998</v>
      </c>
      <c r="I72" s="49">
        <f t="shared" ref="I72" si="124">I71</f>
        <v>-22389.642000000007</v>
      </c>
      <c r="J72" s="49">
        <f t="shared" ref="J72" si="125">J71</f>
        <v>-24628.606200000002</v>
      </c>
      <c r="K72" s="49">
        <f t="shared" ref="K72" si="126">K71</f>
        <v>-27091.466820000023</v>
      </c>
      <c r="L72" s="49">
        <f t="shared" ref="L72" si="127">L71</f>
        <v>-29800.613502000015</v>
      </c>
      <c r="M72" s="49">
        <f t="shared" ref="M72" si="128">M71</f>
        <v>-32780.674852200013</v>
      </c>
      <c r="N72" s="49">
        <f t="shared" ref="N72" si="129">N71</f>
        <v>-36058.74233742003</v>
      </c>
      <c r="O72" s="49">
        <f t="shared" ref="O72" si="130">O71</f>
        <v>-39664.616571162027</v>
      </c>
    </row>
    <row r="73" spans="1:15" ht="15.75" thickBot="1" x14ac:dyDescent="0.3">
      <c r="A73" s="9"/>
      <c r="C73" s="45"/>
      <c r="D73" s="45"/>
      <c r="E73" s="45"/>
      <c r="F73" s="45"/>
      <c r="G73" s="45"/>
      <c r="H73" s="46"/>
      <c r="I73" s="46"/>
      <c r="J73" s="46"/>
      <c r="K73" s="46"/>
      <c r="L73" s="46"/>
      <c r="M73" s="46"/>
      <c r="N73" s="46"/>
      <c r="O73" s="46"/>
    </row>
    <row r="74" spans="1:15" ht="15.75" thickBot="1" x14ac:dyDescent="0.3">
      <c r="A74" s="27" t="s">
        <v>45</v>
      </c>
      <c r="C74" s="45"/>
      <c r="D74" s="45"/>
      <c r="E74" s="45"/>
      <c r="F74" s="45"/>
      <c r="G74" s="45"/>
      <c r="H74" s="46"/>
      <c r="I74" s="46"/>
      <c r="J74" s="46"/>
      <c r="K74" s="46"/>
      <c r="L74" s="46"/>
      <c r="M74" s="46"/>
      <c r="N74" s="46"/>
      <c r="O74" s="46"/>
    </row>
    <row r="75" spans="1:15" ht="15.75" thickBot="1" x14ac:dyDescent="0.3">
      <c r="A75" s="29" t="s">
        <v>46</v>
      </c>
      <c r="C75" s="47">
        <v>0</v>
      </c>
      <c r="D75" s="47">
        <v>0</v>
      </c>
      <c r="E75" s="47">
        <v>-20000</v>
      </c>
      <c r="F75" s="47">
        <v>0</v>
      </c>
      <c r="G75" s="47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</row>
    <row r="76" spans="1:15" ht="15.75" thickBot="1" x14ac:dyDescent="0.3">
      <c r="A76" s="30" t="s">
        <v>47</v>
      </c>
      <c r="C76" s="48">
        <v>170000</v>
      </c>
      <c r="D76" s="48">
        <v>0</v>
      </c>
      <c r="E76" s="48">
        <v>0</v>
      </c>
      <c r="F76" s="48">
        <v>0</v>
      </c>
      <c r="G76" s="48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</row>
    <row r="77" spans="1:15" ht="30.75" thickBot="1" x14ac:dyDescent="0.3">
      <c r="A77" s="27" t="s">
        <v>48</v>
      </c>
      <c r="C77" s="49">
        <f>SUM(C75:C76)</f>
        <v>170000</v>
      </c>
      <c r="D77" s="49">
        <f t="shared" ref="D77:G77" si="131">SUM(D75:D76)</f>
        <v>0</v>
      </c>
      <c r="E77" s="49">
        <f t="shared" si="131"/>
        <v>-20000</v>
      </c>
      <c r="F77" s="49">
        <f t="shared" si="131"/>
        <v>0</v>
      </c>
      <c r="G77" s="49">
        <f t="shared" si="131"/>
        <v>0</v>
      </c>
      <c r="H77" s="49">
        <f t="shared" ref="H77" si="132">SUM(H75:H76)</f>
        <v>0</v>
      </c>
      <c r="I77" s="49">
        <f t="shared" ref="I77" si="133">SUM(I75:I76)</f>
        <v>0</v>
      </c>
      <c r="J77" s="49">
        <f t="shared" ref="J77" si="134">SUM(J75:J76)</f>
        <v>0</v>
      </c>
      <c r="K77" s="49">
        <f t="shared" ref="K77" si="135">SUM(K75:K76)</f>
        <v>0</v>
      </c>
      <c r="L77" s="49">
        <f t="shared" ref="L77" si="136">SUM(L75:L76)</f>
        <v>0</v>
      </c>
      <c r="M77" s="49">
        <f t="shared" ref="M77" si="137">SUM(M75:M76)</f>
        <v>0</v>
      </c>
      <c r="N77" s="49">
        <f t="shared" ref="N77" si="138">SUM(N75:N76)</f>
        <v>0</v>
      </c>
      <c r="O77" s="49">
        <f t="shared" ref="O77" si="139">SUM(O75:O76)</f>
        <v>0</v>
      </c>
    </row>
    <row r="78" spans="1:15" ht="15.75" thickBot="1" x14ac:dyDescent="0.3">
      <c r="A78" s="9"/>
      <c r="C78" s="45"/>
      <c r="D78" s="45"/>
      <c r="E78" s="45"/>
      <c r="F78" s="45"/>
      <c r="G78" s="45"/>
      <c r="H78" s="46"/>
      <c r="I78" s="46"/>
      <c r="J78" s="46"/>
      <c r="K78" s="46"/>
      <c r="L78" s="46"/>
      <c r="M78" s="46"/>
      <c r="N78" s="46"/>
      <c r="O78" s="46"/>
    </row>
    <row r="79" spans="1:15" ht="30.75" thickBot="1" x14ac:dyDescent="0.3">
      <c r="A79" s="27" t="s">
        <v>49</v>
      </c>
      <c r="C79" s="49">
        <f>C77+C72+C68</f>
        <v>167971</v>
      </c>
      <c r="D79" s="49">
        <f t="shared" ref="D79:O79" si="140">D77+D72+D68</f>
        <v>13239</v>
      </c>
      <c r="E79" s="49">
        <f t="shared" si="140"/>
        <v>2505</v>
      </c>
      <c r="F79" s="49">
        <f t="shared" si="140"/>
        <v>27354</v>
      </c>
      <c r="G79" s="49">
        <f t="shared" si="140"/>
        <v>28480</v>
      </c>
      <c r="H79" s="49">
        <f t="shared" si="140"/>
        <v>32718.290695890428</v>
      </c>
      <c r="I79" s="49">
        <f t="shared" si="140"/>
        <v>35942.929269589033</v>
      </c>
      <c r="J79" s="49">
        <f t="shared" si="140"/>
        <v>39600.222196547955</v>
      </c>
      <c r="K79" s="49">
        <f t="shared" si="140"/>
        <v>43623.24441620276</v>
      </c>
      <c r="L79" s="49">
        <f t="shared" si="140"/>
        <v>48048.56885782304</v>
      </c>
      <c r="M79" s="49">
        <f t="shared" si="140"/>
        <v>52916.425743605345</v>
      </c>
      <c r="N79" s="49">
        <f t="shared" si="140"/>
        <v>58271.068317965866</v>
      </c>
      <c r="O79" s="49">
        <f t="shared" si="140"/>
        <v>64161.175149762465</v>
      </c>
    </row>
    <row r="80" spans="1:15" ht="15.75" thickBot="1" x14ac:dyDescent="0.3">
      <c r="A80" s="30" t="s">
        <v>50</v>
      </c>
      <c r="C80" s="48">
        <v>0</v>
      </c>
      <c r="D80" s="48">
        <v>167971</v>
      </c>
      <c r="E80" s="48">
        <v>181210</v>
      </c>
      <c r="F80" s="48">
        <v>183715</v>
      </c>
      <c r="G80" s="48">
        <f>F42</f>
        <v>211069.34</v>
      </c>
      <c r="H80" s="48">
        <f t="shared" ref="H80:O80" si="141">G42</f>
        <v>239549.52</v>
      </c>
      <c r="I80" s="48">
        <f t="shared" si="141"/>
        <v>272267.8106958904</v>
      </c>
      <c r="J80" s="48">
        <f t="shared" si="141"/>
        <v>308210.73996547941</v>
      </c>
      <c r="K80" s="48">
        <f t="shared" si="141"/>
        <v>347810.96216202737</v>
      </c>
      <c r="L80" s="48">
        <f t="shared" si="141"/>
        <v>391434.20657823014</v>
      </c>
      <c r="M80" s="48">
        <f t="shared" si="141"/>
        <v>439482.77543605317</v>
      </c>
      <c r="N80" s="48">
        <f t="shared" si="141"/>
        <v>492399.20117965853</v>
      </c>
      <c r="O80" s="48">
        <f t="shared" si="141"/>
        <v>550670.26949762437</v>
      </c>
    </row>
    <row r="81" spans="1:15" ht="15.75" thickBot="1" x14ac:dyDescent="0.3">
      <c r="A81" s="32" t="s">
        <v>51</v>
      </c>
      <c r="C81" s="50">
        <f>SUM(C79:C80)</f>
        <v>167971</v>
      </c>
      <c r="D81" s="50">
        <f t="shared" ref="D81:G81" si="142">SUM(D79:D80)</f>
        <v>181210</v>
      </c>
      <c r="E81" s="50">
        <f t="shared" si="142"/>
        <v>183715</v>
      </c>
      <c r="F81" s="50">
        <f t="shared" si="142"/>
        <v>211069</v>
      </c>
      <c r="G81" s="50">
        <f t="shared" si="142"/>
        <v>239549.34</v>
      </c>
      <c r="H81" s="74">
        <f t="shared" ref="H81" si="143">SUM(H79:H80)</f>
        <v>272267.8106958904</v>
      </c>
      <c r="I81" s="74">
        <f t="shared" ref="I81" si="144">SUM(I79:I80)</f>
        <v>308210.73996547941</v>
      </c>
      <c r="J81" s="74">
        <f t="shared" ref="J81" si="145">SUM(J79:J80)</f>
        <v>347810.96216202737</v>
      </c>
      <c r="K81" s="74">
        <f t="shared" ref="K81" si="146">SUM(K79:K80)</f>
        <v>391434.20657823014</v>
      </c>
      <c r="L81" s="74">
        <f t="shared" ref="L81" si="147">SUM(L79:L80)</f>
        <v>439482.77543605317</v>
      </c>
      <c r="M81" s="74">
        <f t="shared" ref="M81" si="148">SUM(M79:M80)</f>
        <v>492399.20117965853</v>
      </c>
      <c r="N81" s="74">
        <f t="shared" ref="N81" si="149">SUM(N79:N80)</f>
        <v>550670.26949762437</v>
      </c>
      <c r="O81" s="74">
        <f t="shared" ref="O81" si="150">SUM(O79:O80)</f>
        <v>614831.44464738679</v>
      </c>
    </row>
    <row r="85" spans="1:15" ht="15.75" x14ac:dyDescent="0.25">
      <c r="A85" s="7" t="s">
        <v>65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7" spans="1:15" x14ac:dyDescent="0.25">
      <c r="A87" s="1" t="s">
        <v>66</v>
      </c>
    </row>
    <row r="88" spans="1:15" x14ac:dyDescent="0.25">
      <c r="A88" t="s">
        <v>67</v>
      </c>
      <c r="C88" s="22">
        <f>C91+C90-C89</f>
        <v>50000</v>
      </c>
      <c r="D88" s="22">
        <f t="shared" ref="D88:G88" si="151">D91+D90-D89</f>
        <v>45500</v>
      </c>
      <c r="E88" s="22">
        <f t="shared" si="151"/>
        <v>42350</v>
      </c>
      <c r="F88" s="22">
        <f t="shared" si="151"/>
        <v>40145</v>
      </c>
      <c r="G88" s="22">
        <f t="shared" si="151"/>
        <v>38601.5</v>
      </c>
      <c r="H88" s="22">
        <f>G91</f>
        <v>37521.050000000003</v>
      </c>
      <c r="I88" s="22">
        <f t="shared" ref="I88:O88" si="152">H91</f>
        <v>41462.300000000003</v>
      </c>
      <c r="J88" s="22">
        <f t="shared" si="152"/>
        <v>45608.530000000006</v>
      </c>
      <c r="K88" s="22">
        <f t="shared" si="152"/>
        <v>50169.383000000009</v>
      </c>
      <c r="L88" s="22">
        <f t="shared" si="152"/>
        <v>55186.321300000018</v>
      </c>
      <c r="M88" s="22">
        <f t="shared" si="152"/>
        <v>60704.953430000023</v>
      </c>
      <c r="N88" s="22">
        <f t="shared" si="152"/>
        <v>66775.448773000026</v>
      </c>
      <c r="O88" s="22">
        <f t="shared" si="152"/>
        <v>73452.993650300035</v>
      </c>
    </row>
    <row r="89" spans="1:15" x14ac:dyDescent="0.25">
      <c r="A89" t="s">
        <v>68</v>
      </c>
      <c r="C89" s="22">
        <f>-C71</f>
        <v>15000</v>
      </c>
      <c r="D89" s="22">
        <f t="shared" ref="D89:G89" si="153">-D71</f>
        <v>15000</v>
      </c>
      <c r="E89" s="22">
        <f t="shared" si="153"/>
        <v>15000</v>
      </c>
      <c r="F89" s="22">
        <f t="shared" si="153"/>
        <v>15000</v>
      </c>
      <c r="G89" s="22">
        <f t="shared" si="153"/>
        <v>15000</v>
      </c>
      <c r="H89" s="22">
        <f>H91+H90-H88</f>
        <v>20526.169999999998</v>
      </c>
      <c r="I89" s="22">
        <f t="shared" ref="I89:O89" si="154">I91+I90-I88</f>
        <v>22389.642000000007</v>
      </c>
      <c r="J89" s="22">
        <f t="shared" si="154"/>
        <v>24628.606200000002</v>
      </c>
      <c r="K89" s="22">
        <f t="shared" si="154"/>
        <v>27091.466820000023</v>
      </c>
      <c r="L89" s="22">
        <f t="shared" si="154"/>
        <v>29800.613502000015</v>
      </c>
      <c r="M89" s="22">
        <f t="shared" si="154"/>
        <v>32780.674852200013</v>
      </c>
      <c r="N89" s="22">
        <f t="shared" si="154"/>
        <v>36058.74233742003</v>
      </c>
      <c r="O89" s="22">
        <f t="shared" si="154"/>
        <v>39664.616571162027</v>
      </c>
    </row>
    <row r="90" spans="1:15" x14ac:dyDescent="0.25">
      <c r="A90" t="s">
        <v>77</v>
      </c>
      <c r="C90" s="22">
        <f>-C30</f>
        <v>19500</v>
      </c>
      <c r="D90" s="22">
        <f t="shared" ref="D90:H90" si="155">-D30</f>
        <v>18150</v>
      </c>
      <c r="E90" s="22">
        <f t="shared" si="155"/>
        <v>17205</v>
      </c>
      <c r="F90" s="22">
        <f t="shared" si="155"/>
        <v>16543.5</v>
      </c>
      <c r="G90" s="22">
        <f t="shared" si="155"/>
        <v>16080.45</v>
      </c>
      <c r="H90" s="22">
        <f t="shared" si="155"/>
        <v>16584.920000000002</v>
      </c>
      <c r="I90" s="22">
        <f t="shared" ref="I90:O90" si="156">-I30</f>
        <v>18243.412000000004</v>
      </c>
      <c r="J90" s="22">
        <f t="shared" si="156"/>
        <v>20067.753200000006</v>
      </c>
      <c r="K90" s="22">
        <f t="shared" si="156"/>
        <v>22074.528520000007</v>
      </c>
      <c r="L90" s="22">
        <f t="shared" si="156"/>
        <v>24281.981372000009</v>
      </c>
      <c r="M90" s="22">
        <f t="shared" si="156"/>
        <v>26710.17950920001</v>
      </c>
      <c r="N90" s="22">
        <f t="shared" si="156"/>
        <v>29381.197460120016</v>
      </c>
      <c r="O90" s="22">
        <f t="shared" si="156"/>
        <v>32319.317206132018</v>
      </c>
    </row>
    <row r="91" spans="1:15" ht="15.75" thickBot="1" x14ac:dyDescent="0.3">
      <c r="A91" s="71" t="s">
        <v>69</v>
      </c>
      <c r="B91" s="61"/>
      <c r="C91" s="72">
        <f>C40</f>
        <v>45500</v>
      </c>
      <c r="D91" s="72">
        <f t="shared" ref="D91:G91" si="157">D40</f>
        <v>42350</v>
      </c>
      <c r="E91" s="72">
        <f t="shared" si="157"/>
        <v>40145</v>
      </c>
      <c r="F91" s="72">
        <f t="shared" si="157"/>
        <v>38601.5</v>
      </c>
      <c r="G91" s="72">
        <f t="shared" si="157"/>
        <v>37521.050000000003</v>
      </c>
      <c r="H91" s="72">
        <f>H25/H17</f>
        <v>41462.300000000003</v>
      </c>
      <c r="I91" s="72">
        <f t="shared" ref="I91:O91" si="158">I25/I17</f>
        <v>45608.530000000006</v>
      </c>
      <c r="J91" s="72">
        <f t="shared" si="158"/>
        <v>50169.383000000009</v>
      </c>
      <c r="K91" s="72">
        <f t="shared" si="158"/>
        <v>55186.321300000018</v>
      </c>
      <c r="L91" s="72">
        <f t="shared" si="158"/>
        <v>60704.953430000023</v>
      </c>
      <c r="M91" s="72">
        <f t="shared" si="158"/>
        <v>66775.448773000026</v>
      </c>
      <c r="N91" s="72">
        <f t="shared" si="158"/>
        <v>73452.993650300035</v>
      </c>
      <c r="O91" s="72">
        <f t="shared" si="158"/>
        <v>80798.29301533004</v>
      </c>
    </row>
    <row r="93" spans="1:15" x14ac:dyDescent="0.25">
      <c r="A93" s="1" t="s">
        <v>70</v>
      </c>
    </row>
    <row r="94" spans="1:15" x14ac:dyDescent="0.25">
      <c r="A94" t="s">
        <v>78</v>
      </c>
      <c r="C94" s="66">
        <f>C95-C96</f>
        <v>0</v>
      </c>
      <c r="D94" s="66">
        <f>D96-D95</f>
        <v>2473.8300000000017</v>
      </c>
      <c r="E94" s="66">
        <f t="shared" ref="E94:G94" si="159">E96-E95</f>
        <v>14264.619999999995</v>
      </c>
      <c r="F94" s="66">
        <f t="shared" si="159"/>
        <v>35339.81</v>
      </c>
      <c r="G94" s="66">
        <f t="shared" si="159"/>
        <v>62053.289999999994</v>
      </c>
      <c r="H94" s="66">
        <f>G96</f>
        <v>90280.17</v>
      </c>
      <c r="I94" s="66">
        <f t="shared" ref="I94:O94" si="160">H96</f>
        <v>127961.33520000002</v>
      </c>
      <c r="J94" s="66">
        <f t="shared" si="160"/>
        <v>169473.61692</v>
      </c>
      <c r="K94" s="66">
        <f t="shared" si="160"/>
        <v>215200.126812</v>
      </c>
      <c r="L94" s="66">
        <f t="shared" si="160"/>
        <v>265562.28769320005</v>
      </c>
      <c r="M94" s="66">
        <f t="shared" si="160"/>
        <v>321023.66466252005</v>
      </c>
      <c r="N94" s="66">
        <f t="shared" si="160"/>
        <v>382094.17932877206</v>
      </c>
      <c r="O94" s="66">
        <f t="shared" si="160"/>
        <v>449334.74546164926</v>
      </c>
    </row>
    <row r="95" spans="1:15" x14ac:dyDescent="0.25">
      <c r="A95" t="s">
        <v>71</v>
      </c>
      <c r="C95" s="66">
        <f>C34</f>
        <v>2473.83</v>
      </c>
      <c r="D95" s="66">
        <f t="shared" ref="D95" si="161">D34</f>
        <v>11790.779999999999</v>
      </c>
      <c r="E95" s="66">
        <f t="shared" ref="E95:G95" si="162">E34</f>
        <v>21075.190000000002</v>
      </c>
      <c r="F95" s="66">
        <f t="shared" si="162"/>
        <v>26713.48</v>
      </c>
      <c r="G95" s="66">
        <f t="shared" si="162"/>
        <v>28226.880000000005</v>
      </c>
      <c r="H95" s="22">
        <f>H34</f>
        <v>37681.165200000018</v>
      </c>
      <c r="I95" s="22">
        <f t="shared" ref="I95:O95" si="163">I34</f>
        <v>41512.281719999999</v>
      </c>
      <c r="J95" s="22">
        <f t="shared" si="163"/>
        <v>45726.509892000002</v>
      </c>
      <c r="K95" s="22">
        <f t="shared" si="163"/>
        <v>50362.160881200034</v>
      </c>
      <c r="L95" s="22">
        <f t="shared" si="163"/>
        <v>55461.376969320023</v>
      </c>
      <c r="M95" s="22">
        <f t="shared" si="163"/>
        <v>61070.514666252027</v>
      </c>
      <c r="N95" s="22">
        <f t="shared" si="163"/>
        <v>67240.566132877226</v>
      </c>
      <c r="O95" s="22">
        <f t="shared" si="163"/>
        <v>74027.622746164954</v>
      </c>
    </row>
    <row r="96" spans="1:15" ht="15.75" thickBot="1" x14ac:dyDescent="0.3">
      <c r="A96" s="61" t="s">
        <v>72</v>
      </c>
      <c r="B96" s="61"/>
      <c r="C96" s="73">
        <f>C50</f>
        <v>2473.83</v>
      </c>
      <c r="D96" s="73">
        <f t="shared" ref="D96" si="164">D50</f>
        <v>14264.61</v>
      </c>
      <c r="E96" s="73">
        <f t="shared" ref="E96:G96" si="165">E50</f>
        <v>35339.81</v>
      </c>
      <c r="F96" s="73">
        <f t="shared" si="165"/>
        <v>62053.29</v>
      </c>
      <c r="G96" s="73">
        <f t="shared" si="165"/>
        <v>90280.17</v>
      </c>
      <c r="H96" s="73">
        <f>SUM(H94:H95)</f>
        <v>127961.33520000002</v>
      </c>
      <c r="I96" s="73">
        <f t="shared" ref="I96:O96" si="166">SUM(I94:I95)</f>
        <v>169473.61692</v>
      </c>
      <c r="J96" s="73">
        <f t="shared" si="166"/>
        <v>215200.126812</v>
      </c>
      <c r="K96" s="73">
        <f t="shared" si="166"/>
        <v>265562.28769320005</v>
      </c>
      <c r="L96" s="73">
        <f t="shared" si="166"/>
        <v>321023.66466252005</v>
      </c>
      <c r="M96" s="73">
        <f t="shared" si="166"/>
        <v>382094.17932877206</v>
      </c>
      <c r="N96" s="73">
        <f t="shared" si="166"/>
        <v>449334.74546164926</v>
      </c>
      <c r="O96" s="73">
        <f t="shared" si="166"/>
        <v>523362.36820781423</v>
      </c>
    </row>
    <row r="98" spans="1:15" x14ac:dyDescent="0.25">
      <c r="A98" s="1" t="s">
        <v>73</v>
      </c>
    </row>
    <row r="99" spans="1:15" x14ac:dyDescent="0.25">
      <c r="A99" t="s">
        <v>79</v>
      </c>
      <c r="C99" s="22">
        <f>-C43-0</f>
        <v>-5100.3500000000004</v>
      </c>
      <c r="D99" s="22">
        <f>-(D43-C43)</f>
        <v>-803.94999999999982</v>
      </c>
      <c r="E99" s="22">
        <f t="shared" ref="E99:G99" si="167">-(E43-D43)</f>
        <v>-662.94999999999982</v>
      </c>
      <c r="F99" s="22">
        <f t="shared" si="167"/>
        <v>-549.80000000000018</v>
      </c>
      <c r="G99" s="22">
        <f t="shared" si="167"/>
        <v>-421.55000000000018</v>
      </c>
      <c r="H99" s="22">
        <f t="shared" ref="H99:O99" si="168">-(H43-G43)</f>
        <v>-640.26465753424691</v>
      </c>
      <c r="I99" s="22">
        <f t="shared" si="168"/>
        <v>-817.88646575342591</v>
      </c>
      <c r="J99" s="22">
        <f t="shared" si="168"/>
        <v>-899.67511232876677</v>
      </c>
      <c r="K99" s="22">
        <f t="shared" si="168"/>
        <v>-989.64262356164545</v>
      </c>
      <c r="L99" s="22">
        <f t="shared" si="168"/>
        <v>-1088.6068859178085</v>
      </c>
      <c r="M99" s="22">
        <f t="shared" si="168"/>
        <v>-1197.4675745095901</v>
      </c>
      <c r="N99" s="22">
        <f t="shared" si="168"/>
        <v>-1317.2143319605511</v>
      </c>
      <c r="O99" s="22">
        <f t="shared" si="168"/>
        <v>-1448.9357651566042</v>
      </c>
    </row>
    <row r="100" spans="1:15" x14ac:dyDescent="0.25">
      <c r="A100" t="s">
        <v>74</v>
      </c>
      <c r="C100" s="22">
        <f>C57-0</f>
        <v>3902.3</v>
      </c>
      <c r="D100" s="22">
        <f>D57-C57</f>
        <v>898.09999999999945</v>
      </c>
      <c r="E100" s="22">
        <f t="shared" ref="E100:G100" si="169">E57-D57</f>
        <v>111.90000000000055</v>
      </c>
      <c r="F100" s="22">
        <f t="shared" si="169"/>
        <v>353.09999999999945</v>
      </c>
      <c r="G100" s="22">
        <f t="shared" si="169"/>
        <v>405.60000000000036</v>
      </c>
      <c r="H100" s="22">
        <f t="shared" ref="H100:O100" si="170">H57-G57</f>
        <v>381.359846575343</v>
      </c>
      <c r="I100" s="22">
        <f t="shared" si="170"/>
        <v>605.23598465753457</v>
      </c>
      <c r="J100" s="22">
        <f t="shared" si="170"/>
        <v>665.75958312328748</v>
      </c>
      <c r="K100" s="22">
        <f t="shared" si="170"/>
        <v>732.33554143561832</v>
      </c>
      <c r="L100" s="22">
        <f t="shared" si="170"/>
        <v>805.56909557917879</v>
      </c>
      <c r="M100" s="22">
        <f t="shared" si="170"/>
        <v>886.12600513709731</v>
      </c>
      <c r="N100" s="22">
        <f t="shared" si="170"/>
        <v>974.73860565080577</v>
      </c>
      <c r="O100" s="22">
        <f t="shared" si="170"/>
        <v>1072.2124662158858</v>
      </c>
    </row>
    <row r="101" spans="1:15" x14ac:dyDescent="0.25">
      <c r="A101" t="s">
        <v>75</v>
      </c>
      <c r="C101" s="22">
        <f>-C44-0</f>
        <v>-7804.6</v>
      </c>
      <c r="D101" s="22">
        <f>-(D44-C44)</f>
        <v>-1796.1999999999989</v>
      </c>
      <c r="E101" s="22">
        <f t="shared" ref="E101:G101" si="171">-(E44-D44)</f>
        <v>-223.80000000000109</v>
      </c>
      <c r="F101" s="22">
        <f t="shared" si="171"/>
        <v>-706.19999999999891</v>
      </c>
      <c r="G101" s="22">
        <f t="shared" si="171"/>
        <v>-811.20000000000073</v>
      </c>
      <c r="H101" s="22">
        <f t="shared" ref="H101:O101" si="172">-(H44-G44)</f>
        <v>-762.719693150686</v>
      </c>
      <c r="I101" s="22">
        <f t="shared" si="172"/>
        <v>-1210.4719693150691</v>
      </c>
      <c r="J101" s="22">
        <f t="shared" si="172"/>
        <v>-1331.519166246575</v>
      </c>
      <c r="K101" s="22">
        <f t="shared" si="172"/>
        <v>-1464.6710828712366</v>
      </c>
      <c r="L101" s="22">
        <f t="shared" si="172"/>
        <v>-1611.1381911583576</v>
      </c>
      <c r="M101" s="22">
        <f t="shared" si="172"/>
        <v>-1772.2520102741946</v>
      </c>
      <c r="N101" s="22">
        <f t="shared" si="172"/>
        <v>-1949.4772113016115</v>
      </c>
      <c r="O101" s="22">
        <f t="shared" si="172"/>
        <v>-2144.4249324317716</v>
      </c>
    </row>
    <row r="102" spans="1:15" ht="15.75" thickBot="1" x14ac:dyDescent="0.3">
      <c r="A102" s="71" t="s">
        <v>76</v>
      </c>
      <c r="B102" s="71"/>
      <c r="C102" s="72">
        <f>SUM(C99:C101)</f>
        <v>-9002.6500000000015</v>
      </c>
      <c r="D102" s="72">
        <f>SUM(D99:D101)</f>
        <v>-1702.0499999999993</v>
      </c>
      <c r="E102" s="72">
        <f t="shared" ref="E102:G102" si="173">SUM(E99:E101)</f>
        <v>-774.85000000000036</v>
      </c>
      <c r="F102" s="72">
        <f t="shared" si="173"/>
        <v>-902.89999999999964</v>
      </c>
      <c r="G102" s="72">
        <f t="shared" si="173"/>
        <v>-827.15000000000055</v>
      </c>
      <c r="H102" s="72">
        <f t="shared" ref="H102" si="174">SUM(H99:H101)</f>
        <v>-1021.6245041095899</v>
      </c>
      <c r="I102" s="72">
        <f t="shared" ref="I102" si="175">SUM(I99:I101)</f>
        <v>-1423.1224504109605</v>
      </c>
      <c r="J102" s="72">
        <f t="shared" ref="J102" si="176">SUM(J99:J101)</f>
        <v>-1565.4346954520543</v>
      </c>
      <c r="K102" s="72">
        <f t="shared" ref="K102" si="177">SUM(K99:K101)</f>
        <v>-1721.9781649972638</v>
      </c>
      <c r="L102" s="72">
        <f t="shared" ref="L102" si="178">SUM(L99:L101)</f>
        <v>-1894.1759814969873</v>
      </c>
      <c r="M102" s="72">
        <f t="shared" ref="M102" si="179">SUM(M99:M101)</f>
        <v>-2083.5935796466874</v>
      </c>
      <c r="N102" s="72">
        <f t="shared" ref="N102" si="180">SUM(N99:N101)</f>
        <v>-2291.9529376113569</v>
      </c>
      <c r="O102" s="72">
        <f t="shared" ref="O102" si="181">SUM(O99:O101)</f>
        <v>-2521.14823137249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13AE-A3FC-44B6-A348-C6AF7AD6DD26}">
  <dimension ref="A1:Z1000"/>
  <sheetViews>
    <sheetView topLeftCell="A34" workbookViewId="0">
      <selection activeCell="A39" sqref="A39:F57"/>
    </sheetView>
  </sheetViews>
  <sheetFormatPr defaultRowHeight="15" x14ac:dyDescent="0.25"/>
  <cols>
    <col min="1" max="1" width="19.42578125" customWidth="1"/>
    <col min="2" max="4" width="12.85546875" bestFit="1" customWidth="1"/>
    <col min="5" max="6" width="12.7109375" bestFit="1" customWidth="1"/>
  </cols>
  <sheetData>
    <row r="1" spans="1:26" ht="16.5" thickBot="1" x14ac:dyDescent="0.3">
      <c r="A1" s="78" t="s">
        <v>35</v>
      </c>
      <c r="B1" s="79"/>
      <c r="C1" s="79"/>
      <c r="D1" s="79"/>
      <c r="E1" s="79"/>
      <c r="F1" s="8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6.5" thickBot="1" x14ac:dyDescent="0.3">
      <c r="A2" s="9"/>
      <c r="B2" s="36">
        <v>2018</v>
      </c>
      <c r="C2" s="36">
        <v>2019</v>
      </c>
      <c r="D2" s="36">
        <v>2020</v>
      </c>
      <c r="E2" s="36">
        <v>2021</v>
      </c>
      <c r="F2" s="36">
        <v>2022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6.5" thickBot="1" x14ac:dyDescent="0.3">
      <c r="A3" s="10" t="s">
        <v>5</v>
      </c>
      <c r="B3" s="11">
        <v>102007</v>
      </c>
      <c r="C3" s="11">
        <v>118086</v>
      </c>
      <c r="D3" s="11">
        <v>131345</v>
      </c>
      <c r="E3" s="11">
        <v>142341</v>
      </c>
      <c r="F3" s="11">
        <v>150772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6.5" thickBot="1" x14ac:dyDescent="0.3">
      <c r="A4" s="13" t="s">
        <v>6</v>
      </c>
      <c r="B4" s="14">
        <v>-39023</v>
      </c>
      <c r="C4" s="14">
        <v>-48004</v>
      </c>
      <c r="D4" s="14">
        <v>-49123</v>
      </c>
      <c r="E4" s="14">
        <v>-53254</v>
      </c>
      <c r="F4" s="14">
        <v>-57310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6.5" thickBot="1" x14ac:dyDescent="0.3">
      <c r="A5" s="15" t="s">
        <v>7</v>
      </c>
      <c r="B5" s="16">
        <v>62984</v>
      </c>
      <c r="C5" s="16">
        <v>70082</v>
      </c>
      <c r="D5" s="16">
        <v>82222</v>
      </c>
      <c r="E5" s="16">
        <v>89087</v>
      </c>
      <c r="F5" s="16">
        <v>93462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6.5" thickBot="1" x14ac:dyDescent="0.3">
      <c r="A7" s="10" t="s">
        <v>8</v>
      </c>
      <c r="B7" s="11">
        <v>-37390</v>
      </c>
      <c r="C7" s="11">
        <v>-32783</v>
      </c>
      <c r="D7" s="11">
        <v>-33959</v>
      </c>
      <c r="E7" s="11">
        <v>-34022</v>
      </c>
      <c r="F7" s="11">
        <v>-36657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2.25" thickBot="1" x14ac:dyDescent="0.3">
      <c r="A8" s="10" t="s">
        <v>9</v>
      </c>
      <c r="B8" s="11">
        <v>-19500</v>
      </c>
      <c r="C8" s="11">
        <v>-18150</v>
      </c>
      <c r="D8" s="11">
        <v>-17205</v>
      </c>
      <c r="E8" s="11">
        <v>-16543.5</v>
      </c>
      <c r="F8" s="11">
        <v>-16080.45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6.5" thickBot="1" x14ac:dyDescent="0.3">
      <c r="A9" s="13" t="s">
        <v>10</v>
      </c>
      <c r="B9" s="14">
        <v>-2500</v>
      </c>
      <c r="C9" s="14">
        <v>-2500</v>
      </c>
      <c r="D9" s="14">
        <v>-1500</v>
      </c>
      <c r="E9" s="17">
        <v>-900</v>
      </c>
      <c r="F9" s="17">
        <v>-900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2.25" thickBot="1" x14ac:dyDescent="0.3">
      <c r="A10" s="10" t="s">
        <v>11</v>
      </c>
      <c r="B10" s="18">
        <v>3594</v>
      </c>
      <c r="C10" s="18">
        <v>16649</v>
      </c>
      <c r="D10" s="18">
        <v>29558</v>
      </c>
      <c r="E10" s="18">
        <v>37621.5</v>
      </c>
      <c r="F10" s="18">
        <v>39824.550000000003</v>
      </c>
      <c r="G10" s="9"/>
      <c r="H10" s="3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6.5" thickBot="1" x14ac:dyDescent="0.3">
      <c r="A11" s="13" t="s">
        <v>12</v>
      </c>
      <c r="B11" s="14">
        <v>-1120.17</v>
      </c>
      <c r="C11" s="14">
        <v>-4858.22</v>
      </c>
      <c r="D11" s="14">
        <v>-8482.81</v>
      </c>
      <c r="E11" s="14">
        <v>-10908.02</v>
      </c>
      <c r="F11" s="14">
        <v>-11597.67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6.5" thickBot="1" x14ac:dyDescent="0.3">
      <c r="A12" s="19" t="s">
        <v>13</v>
      </c>
      <c r="B12" s="20">
        <v>2473.83</v>
      </c>
      <c r="C12" s="20">
        <v>11790.78</v>
      </c>
      <c r="D12" s="20">
        <v>21075.19</v>
      </c>
      <c r="E12" s="20">
        <v>26713.48</v>
      </c>
      <c r="F12" s="20">
        <v>28226.880000000001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6.5" thickBot="1" x14ac:dyDescent="0.3">
      <c r="A14" s="78" t="s">
        <v>36</v>
      </c>
      <c r="B14" s="79"/>
      <c r="C14" s="79"/>
      <c r="D14" s="79"/>
      <c r="E14" s="79"/>
      <c r="F14" s="8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thickBot="1" x14ac:dyDescent="0.3">
      <c r="A15" s="27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2.25" thickBot="1" x14ac:dyDescent="0.3">
      <c r="A16" s="28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0.75" thickBot="1" x14ac:dyDescent="0.3">
      <c r="A17" s="29" t="s">
        <v>16</v>
      </c>
      <c r="B17" s="16">
        <v>45500</v>
      </c>
      <c r="C17" s="16">
        <v>42350</v>
      </c>
      <c r="D17" s="16">
        <v>40145</v>
      </c>
      <c r="E17" s="16">
        <v>38601.5</v>
      </c>
      <c r="F17" s="16">
        <v>37521.050000000003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6.5" thickBot="1" x14ac:dyDescent="0.3">
      <c r="A18" s="28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0.75" thickBot="1" x14ac:dyDescent="0.3">
      <c r="A19" s="29" t="s">
        <v>18</v>
      </c>
      <c r="B19" s="14">
        <v>167971.18</v>
      </c>
      <c r="C19" s="14">
        <v>181209.91</v>
      </c>
      <c r="D19" s="14">
        <v>183715.26</v>
      </c>
      <c r="E19" s="14">
        <v>211069.34</v>
      </c>
      <c r="F19" s="14">
        <v>239549.52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0.75" thickBot="1" x14ac:dyDescent="0.3">
      <c r="A20" s="29" t="s">
        <v>19</v>
      </c>
      <c r="B20" s="16">
        <v>5100.3500000000004</v>
      </c>
      <c r="C20" s="16">
        <v>5904.3</v>
      </c>
      <c r="D20" s="16">
        <v>6567.25</v>
      </c>
      <c r="E20" s="16">
        <v>7117.05</v>
      </c>
      <c r="F20" s="16">
        <v>7538.6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6.5" thickBot="1" x14ac:dyDescent="0.3">
      <c r="A21" s="30" t="s">
        <v>20</v>
      </c>
      <c r="B21" s="31">
        <v>7804.6</v>
      </c>
      <c r="C21" s="31">
        <v>9600.7999999999993</v>
      </c>
      <c r="D21" s="31">
        <v>9824.6</v>
      </c>
      <c r="E21" s="31">
        <v>10530.8</v>
      </c>
      <c r="F21" s="31">
        <v>11342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0.75" thickBot="1" x14ac:dyDescent="0.3">
      <c r="A22" s="30" t="s">
        <v>21</v>
      </c>
      <c r="B22" s="11">
        <v>180876.13</v>
      </c>
      <c r="C22" s="11">
        <v>196715.01</v>
      </c>
      <c r="D22" s="11">
        <v>200107.11</v>
      </c>
      <c r="E22" s="11">
        <v>228717.19</v>
      </c>
      <c r="F22" s="11">
        <v>258430.12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6.5" thickBot="1" x14ac:dyDescent="0.3">
      <c r="A23" s="32" t="s">
        <v>22</v>
      </c>
      <c r="B23" s="11">
        <v>226376.13</v>
      </c>
      <c r="C23" s="11">
        <v>239065.01</v>
      </c>
      <c r="D23" s="11">
        <v>240252.11</v>
      </c>
      <c r="E23" s="11">
        <v>267318.69</v>
      </c>
      <c r="F23" s="11">
        <v>295951.17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thickBot="1" x14ac:dyDescent="0.3">
      <c r="A24" s="9"/>
      <c r="B24" s="12"/>
      <c r="C24" s="12"/>
      <c r="D24" s="12"/>
      <c r="E24" s="12"/>
      <c r="F24" s="12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0.75" thickBot="1" x14ac:dyDescent="0.3">
      <c r="A25" s="33" t="s">
        <v>23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6.5" thickBot="1" x14ac:dyDescent="0.3">
      <c r="A26" s="29" t="s">
        <v>24</v>
      </c>
      <c r="B26" s="14">
        <v>170000</v>
      </c>
      <c r="C26" s="14">
        <v>170000</v>
      </c>
      <c r="D26" s="14">
        <v>170000</v>
      </c>
      <c r="E26" s="14">
        <v>170000</v>
      </c>
      <c r="F26" s="14">
        <v>170000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6.5" thickBot="1" x14ac:dyDescent="0.3">
      <c r="A27" s="30" t="s">
        <v>25</v>
      </c>
      <c r="B27" s="20">
        <v>2473.83</v>
      </c>
      <c r="C27" s="20">
        <v>14264.61</v>
      </c>
      <c r="D27" s="20">
        <v>35339.81</v>
      </c>
      <c r="E27" s="20">
        <v>62053.29</v>
      </c>
      <c r="F27" s="20">
        <v>90280.17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45.75" thickBot="1" x14ac:dyDescent="0.3">
      <c r="A28" s="27" t="s">
        <v>26</v>
      </c>
      <c r="B28" s="16">
        <v>172473.83</v>
      </c>
      <c r="C28" s="16">
        <v>184264.61</v>
      </c>
      <c r="D28" s="16">
        <v>205339.81</v>
      </c>
      <c r="E28" s="16">
        <v>232053.29</v>
      </c>
      <c r="F28" s="16">
        <v>260280.17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0.75" thickBot="1" x14ac:dyDescent="0.3">
      <c r="A29" s="3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6.5" thickBot="1" x14ac:dyDescent="0.3">
      <c r="A30" s="30" t="s">
        <v>28</v>
      </c>
      <c r="B30" s="14">
        <v>50000</v>
      </c>
      <c r="C30" s="14">
        <v>50000</v>
      </c>
      <c r="D30" s="14">
        <v>30000</v>
      </c>
      <c r="E30" s="14">
        <v>30000</v>
      </c>
      <c r="F30" s="14">
        <v>30000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6.5" thickBot="1" x14ac:dyDescent="0.3">
      <c r="A31" s="10" t="s">
        <v>29</v>
      </c>
      <c r="B31" s="16">
        <v>50000</v>
      </c>
      <c r="C31" s="16">
        <v>50000</v>
      </c>
      <c r="D31" s="16">
        <v>30000</v>
      </c>
      <c r="E31" s="16">
        <v>30000</v>
      </c>
      <c r="F31" s="16">
        <v>30000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thickBot="1" x14ac:dyDescent="0.3">
      <c r="A32" s="3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6.5" thickBot="1" x14ac:dyDescent="0.3">
      <c r="A33" s="30" t="s">
        <v>31</v>
      </c>
      <c r="B33" s="11">
        <v>3902.3</v>
      </c>
      <c r="C33" s="11">
        <v>4800.3999999999996</v>
      </c>
      <c r="D33" s="11">
        <v>4912.3</v>
      </c>
      <c r="E33" s="11">
        <v>5265.4</v>
      </c>
      <c r="F33" s="11">
        <v>5671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0.75" thickBot="1" x14ac:dyDescent="0.3">
      <c r="A34" s="29" t="s">
        <v>32</v>
      </c>
      <c r="B34" s="11">
        <v>3902.3</v>
      </c>
      <c r="C34" s="11">
        <v>4800.3999999999996</v>
      </c>
      <c r="D34" s="11">
        <v>4912.3</v>
      </c>
      <c r="E34" s="11">
        <v>5265.4</v>
      </c>
      <c r="F34" s="11">
        <v>5671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6.5" thickBot="1" x14ac:dyDescent="0.3">
      <c r="A35" s="32" t="s">
        <v>33</v>
      </c>
      <c r="B35" s="14">
        <v>53902.3</v>
      </c>
      <c r="C35" s="14">
        <v>54800.4</v>
      </c>
      <c r="D35" s="14">
        <v>34912.300000000003</v>
      </c>
      <c r="E35" s="14">
        <v>35265.4</v>
      </c>
      <c r="F35" s="14">
        <v>35671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45.75" thickBot="1" x14ac:dyDescent="0.3">
      <c r="A36" s="32" t="s">
        <v>34</v>
      </c>
      <c r="B36" s="18">
        <v>226376.13</v>
      </c>
      <c r="C36" s="18">
        <v>239065.01</v>
      </c>
      <c r="D36" s="18">
        <v>240252.11</v>
      </c>
      <c r="E36" s="18">
        <v>267318.69</v>
      </c>
      <c r="F36" s="18">
        <v>295951.17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thickBo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6.5" thickBot="1" x14ac:dyDescent="0.3">
      <c r="A38" s="78" t="s">
        <v>37</v>
      </c>
      <c r="B38" s="79"/>
      <c r="C38" s="79"/>
      <c r="D38" s="79"/>
      <c r="E38" s="79"/>
      <c r="F38" s="8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0.75" thickBot="1" x14ac:dyDescent="0.3">
      <c r="A39" s="27" t="s">
        <v>38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thickBot="1" x14ac:dyDescent="0.3">
      <c r="A40" s="29" t="s">
        <v>13</v>
      </c>
      <c r="B40" s="38">
        <v>2474</v>
      </c>
      <c r="C40" s="38">
        <v>11791</v>
      </c>
      <c r="D40" s="38">
        <v>21075</v>
      </c>
      <c r="E40" s="38">
        <v>26713</v>
      </c>
      <c r="F40" s="38">
        <v>28227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thickBot="1" x14ac:dyDescent="0.3">
      <c r="A41" s="29" t="s">
        <v>39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0.75" thickBot="1" x14ac:dyDescent="0.3">
      <c r="A42" s="29" t="s">
        <v>9</v>
      </c>
      <c r="B42" s="38">
        <v>19500</v>
      </c>
      <c r="C42" s="38">
        <v>18150</v>
      </c>
      <c r="D42" s="38">
        <v>17205</v>
      </c>
      <c r="E42" s="38">
        <v>16544</v>
      </c>
      <c r="F42" s="38">
        <v>16080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45.75" thickBot="1" x14ac:dyDescent="0.3">
      <c r="A43" s="30" t="s">
        <v>40</v>
      </c>
      <c r="B43" s="39">
        <v>-9003</v>
      </c>
      <c r="C43" s="39">
        <v>-1702</v>
      </c>
      <c r="D43" s="40">
        <v>-775</v>
      </c>
      <c r="E43" s="40">
        <v>-903</v>
      </c>
      <c r="F43" s="40">
        <v>-827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45.75" thickBot="1" x14ac:dyDescent="0.3">
      <c r="A44" s="27" t="s">
        <v>41</v>
      </c>
      <c r="B44" s="41">
        <v>12971</v>
      </c>
      <c r="C44" s="41">
        <v>28239</v>
      </c>
      <c r="D44" s="41">
        <v>37505</v>
      </c>
      <c r="E44" s="41">
        <v>42354</v>
      </c>
      <c r="F44" s="41">
        <v>43480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thickBo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thickBot="1" x14ac:dyDescent="0.3">
      <c r="A46" s="27" t="s">
        <v>42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thickBot="1" x14ac:dyDescent="0.3">
      <c r="A47" s="30" t="s">
        <v>43</v>
      </c>
      <c r="B47" s="39">
        <v>-15000</v>
      </c>
      <c r="C47" s="39">
        <v>-15000</v>
      </c>
      <c r="D47" s="39">
        <v>-15000</v>
      </c>
      <c r="E47" s="39">
        <v>-15000</v>
      </c>
      <c r="F47" s="39">
        <v>-15000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0.75" thickBot="1" x14ac:dyDescent="0.3">
      <c r="A48" s="27" t="s">
        <v>44</v>
      </c>
      <c r="B48" s="41">
        <v>-15000</v>
      </c>
      <c r="C48" s="41">
        <v>-15000</v>
      </c>
      <c r="D48" s="41">
        <v>-15000</v>
      </c>
      <c r="E48" s="41">
        <v>-15000</v>
      </c>
      <c r="F48" s="41">
        <v>-15000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thickBo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0.75" thickBot="1" x14ac:dyDescent="0.3">
      <c r="A50" s="27" t="s">
        <v>45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0.75" thickBot="1" x14ac:dyDescent="0.3">
      <c r="A51" s="29" t="s">
        <v>46</v>
      </c>
      <c r="B51" s="42">
        <v>0</v>
      </c>
      <c r="C51" s="42">
        <v>0</v>
      </c>
      <c r="D51" s="38">
        <v>-20000</v>
      </c>
      <c r="E51" s="42">
        <v>0</v>
      </c>
      <c r="F51" s="42">
        <v>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thickBot="1" x14ac:dyDescent="0.3">
      <c r="A52" s="30" t="s">
        <v>47</v>
      </c>
      <c r="B52" s="39">
        <v>170000</v>
      </c>
      <c r="C52" s="40">
        <v>0</v>
      </c>
      <c r="D52" s="40">
        <v>0</v>
      </c>
      <c r="E52" s="40">
        <v>0</v>
      </c>
      <c r="F52" s="40">
        <v>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60.75" thickBot="1" x14ac:dyDescent="0.3">
      <c r="A53" s="27" t="s">
        <v>48</v>
      </c>
      <c r="B53" s="41">
        <v>170000</v>
      </c>
      <c r="C53" s="43">
        <v>0</v>
      </c>
      <c r="D53" s="41">
        <v>-20000</v>
      </c>
      <c r="E53" s="43">
        <v>0</v>
      </c>
      <c r="F53" s="43">
        <v>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thickBo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45.75" thickBot="1" x14ac:dyDescent="0.3">
      <c r="A55" s="27" t="s">
        <v>49</v>
      </c>
      <c r="B55" s="41">
        <v>167971</v>
      </c>
      <c r="C55" s="41">
        <v>13239</v>
      </c>
      <c r="D55" s="41">
        <v>2505</v>
      </c>
      <c r="E55" s="41">
        <v>27354</v>
      </c>
      <c r="F55" s="41">
        <v>28480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45.75" thickBot="1" x14ac:dyDescent="0.3">
      <c r="A56" s="30" t="s">
        <v>50</v>
      </c>
      <c r="B56" s="40">
        <v>0</v>
      </c>
      <c r="C56" s="39">
        <v>167971</v>
      </c>
      <c r="D56" s="39">
        <v>181210</v>
      </c>
      <c r="E56" s="39">
        <v>183715</v>
      </c>
      <c r="F56" s="39">
        <v>211069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0.75" thickBot="1" x14ac:dyDescent="0.3">
      <c r="A57" s="32" t="s">
        <v>51</v>
      </c>
      <c r="B57" s="44">
        <v>167971</v>
      </c>
      <c r="C57" s="44">
        <v>181210</v>
      </c>
      <c r="D57" s="44">
        <v>183715</v>
      </c>
      <c r="E57" s="44">
        <v>211069</v>
      </c>
      <c r="F57" s="44">
        <v>239550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thickBo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thickBo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thickBo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thickBo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thickBo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thickBo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thickBo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thickBo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thickBo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thickBo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thickBo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thickBo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thickBo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thickBo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thickBo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thickBo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thickBo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thickBo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thickBo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thickBo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thickBo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thickBo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thickBo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thickBo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thickBo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thickBo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thickBo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thickBo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thickBo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thickBo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thickBo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thickBo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thickBo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thickBo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thickBo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thickBo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thickBo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thickBo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thickBo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thickBo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thickBo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thickBo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thickBo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thickBo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thickBo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thickBo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thickBo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thickBo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thickBo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thickBo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thickBo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thickBo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thickBo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thickBo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thickBo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thickBo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thickBo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thickBo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thickBo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thickBo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thickBo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thickBo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thickBo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thickBo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thickBo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thickBo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thickBo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thickBo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thickBo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thickBo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thickBo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thickBo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thickBo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thickBo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thickBo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thickBo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thickBo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thickBo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thickBo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thickBo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thickBo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thickBo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thickBo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thickBo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thickBo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thickBo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thickBo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thickBo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thickBo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thickBo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thickBo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thickBo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thickBo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thickBo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thickBo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thickBo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thickBo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thickBo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thickBo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thickBo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thickBo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thickBo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thickBo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thickBo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thickBo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thickBo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thickBo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thickBo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thickBo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thickBo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thickBo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thickBo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thickBo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thickBo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thickBo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thickBo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thickBo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thickBo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thickBo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thickBo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thickBo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thickBo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thickBo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thickBo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thickBo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thickBo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thickBo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thickBo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thickBo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thickBo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thickBo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thickBo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thickBo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thickBo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thickBo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thickBo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thickBo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thickBo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thickBo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thickBo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thickBo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thickBo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thickBo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thickBo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thickBo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thickBo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thickBo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thickBo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thickBo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thickBo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thickBo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thickBo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thickBo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thickBo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thickBo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thickBo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thickBo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thickBo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thickBo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thickBo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thickBo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thickBo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thickBo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thickBo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thickBo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thickBo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thickBo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thickBo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thickBo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thickBo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thickBo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thickBo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thickBo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thickBo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thickBo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thickBo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thickBo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thickBo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thickBo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thickBo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thickBo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thickBo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thickBo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thickBo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thickBo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thickBo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thickBo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thickBo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thickBo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thickBo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thickBo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thickBo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thickBo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thickBo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thickBo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thickBo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thickBo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thickBo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thickBo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thickBo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thickBo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thickBo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thickBo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thickBo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thickBo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thickBo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thickBo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thickBo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thickBo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thickBo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thickBo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thickBo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thickBo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thickBo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thickBo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thickBo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thickBo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thickBo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thickBo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thickBo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thickBo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thickBo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thickBo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thickBo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thickBo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thickBo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thickBo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thickBo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thickBo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thickBo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thickBo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thickBo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thickBo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thickBo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thickBo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thickBo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thickBo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thickBo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thickBo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thickBo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thickBo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thickBo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thickBo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thickBo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thickBo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thickBo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thickBo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thickBo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thickBo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thickBo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thickBo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thickBo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thickBo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thickBo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thickBo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thickBo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thickBo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thickBo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thickBo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thickBo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thickBo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thickBo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thickBo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thickBo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thickBo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thickBo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thickBo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thickBo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thickBo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thickBo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thickBo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thickBo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thickBo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thickBo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thickBo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thickBo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thickBo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thickBo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thickBo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thickBo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thickBo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thickBo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thickBo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thickBo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thickBo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thickBo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thickBo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thickBo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thickBo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thickBo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thickBo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thickBo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thickBo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thickBo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thickBo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thickBo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thickBo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thickBo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thickBo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thickBo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thickBo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thickBo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thickBo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thickBo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thickBo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thickBo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thickBo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thickBo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thickBo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thickBo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thickBo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thickBo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thickBo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thickBo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thickBo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thickBo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thickBo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thickBo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thickBo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thickBo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thickBo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thickBo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thickBo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thickBo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thickBo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thickBo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thickBo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thickBo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thickBo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thickBo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thickBo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thickBo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thickBo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thickBo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thickBo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thickBo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thickBo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thickBo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thickBo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thickBo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thickBo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thickBo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thickBo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thickBo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thickBo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thickBo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thickBo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thickBo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thickBo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thickBo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thickBo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thickBo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thickBo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thickBo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thickBo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thickBo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thickBo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thickBo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thickBo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thickBo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thickBo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thickBo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thickBo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thickBo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thickBo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thickBo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thickBo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thickBo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thickBo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thickBo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thickBo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thickBo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thickBo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thickBo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thickBo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thickBo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thickBo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thickBo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thickBo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thickBo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thickBo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thickBo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thickBo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thickBo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thickBo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thickBo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thickBo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thickBo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thickBo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thickBo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thickBo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thickBo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thickBo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thickBo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thickBo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thickBo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thickBo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thickBo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thickBo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thickBo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thickBo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thickBo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thickBo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thickBo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thickBo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thickBo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thickBo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thickBo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thickBo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thickBo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thickBo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thickBo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thickBo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thickBo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thickBo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thickBo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thickBo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thickBo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thickBo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thickBo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thickBo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thickBo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thickBo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thickBo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thickBo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thickBo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thickBo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thickBo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thickBo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thickBo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thickBo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thickBo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thickBo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thickBo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thickBo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thickBo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thickBo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thickBo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thickBo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thickBo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thickBo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thickBo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thickBo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thickBo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thickBo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thickBo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thickBo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thickBo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thickBo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thickBo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thickBo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thickBo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thickBo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thickBo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thickBo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thickBo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thickBo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thickBo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thickBo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thickBo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thickBo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thickBo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thickBo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thickBo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thickBo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thickBo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thickBo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thickBo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thickBo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thickBo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thickBo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thickBo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thickBo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thickBo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thickBo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thickBo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thickBo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thickBo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thickBo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thickBo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thickBo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thickBo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thickBo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thickBo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thickBo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thickBo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thickBo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thickBo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thickBo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thickBo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thickBo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thickBo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thickBo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thickBo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thickBo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thickBo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thickBo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thickBo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thickBo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thickBo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thickBo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thickBo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thickBo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thickBo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thickBo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thickBo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thickBo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thickBo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thickBo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thickBo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thickBo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thickBo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thickBo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thickBo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thickBo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thickBo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thickBo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thickBo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thickBo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thickBo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thickBo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thickBo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thickBo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thickBo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thickBo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thickBo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thickBo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thickBo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thickBo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thickBo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thickBo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thickBo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thickBo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thickBo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thickBo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thickBo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thickBo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thickBo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thickBo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thickBo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thickBo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thickBo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thickBo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thickBo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thickBo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thickBo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thickBo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thickBo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thickBo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thickBo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thickBo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thickBo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thickBo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thickBo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thickBo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thickBo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thickBo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thickBo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thickBo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thickBo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thickBo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thickBo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thickBo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thickBo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thickBo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thickBo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thickBo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thickBo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thickBo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thickBo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thickBo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thickBo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thickBo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thickBo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thickBo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thickBo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thickBo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thickBo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thickBo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thickBo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thickBo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thickBo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thickBo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thickBo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thickBo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thickBo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thickBo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thickBo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thickBo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thickBo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thickBo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thickBo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thickBo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thickBo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thickBo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thickBo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thickBo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thickBo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thickBo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thickBo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thickBo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thickBo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thickBo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thickBo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thickBo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thickBo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thickBo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thickBo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thickBo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thickBo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thickBo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thickBo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thickBo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thickBo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thickBo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thickBo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thickBo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thickBo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thickBo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thickBo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thickBo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thickBo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thickBo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thickBo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thickBo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thickBo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thickBo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thickBo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thickBo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thickBo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thickBo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thickBo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thickBo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thickBo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thickBo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thickBo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thickBo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thickBo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thickBo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thickBo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thickBo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thickBo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thickBo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thickBo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thickBo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thickBo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thickBo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thickBo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thickBo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thickBo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thickBo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thickBo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thickBo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thickBo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thickBo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thickBo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thickBo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thickBo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thickBo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thickBo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thickBo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thickBo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thickBo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thickBo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thickBo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thickBo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thickBo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thickBo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thickBo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thickBo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thickBo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thickBo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thickBo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thickBo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thickBo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thickBo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thickBo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thickBo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thickBo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thickBo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thickBo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thickBo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thickBo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thickBo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thickBo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thickBo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thickBo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thickBo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thickBo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thickBo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thickBo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thickBo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thickBo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thickBo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thickBo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thickBo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thickBo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thickBo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thickBo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thickBo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thickBo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thickBo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thickBo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thickBo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thickBo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thickBo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thickBo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thickBo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thickBo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thickBo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thickBo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thickBo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thickBo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thickBo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thickBo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thickBo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thickBo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thickBo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thickBo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thickBo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thickBo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thickBo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thickBo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thickBo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thickBo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thickBo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thickBo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thickBo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thickBo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thickBo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thickBo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thickBo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thickBo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thickBo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thickBo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thickBo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thickBo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thickBo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thickBo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thickBo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thickBo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thickBo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thickBo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thickBo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thickBo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thickBo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thickBo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thickBo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thickBo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thickBo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thickBo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thickBo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thickBo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thickBo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thickBo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thickBo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thickBo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thickBo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thickBo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thickBo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thickBo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thickBo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thickBo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thickBo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thickBo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thickBo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thickBo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thickBo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thickBo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thickBo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thickBo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thickBo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thickBo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thickBo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thickBo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thickBo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thickBo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thickBo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thickBo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thickBo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thickBo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thickBo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thickBo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thickBo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thickBo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thickBo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thickBo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thickBo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thickBo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thickBo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thickBo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thickBo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thickBo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thickBo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thickBo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thickBo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thickBo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thickBo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thickBo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thickBo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thickBo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thickBo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thickBo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thickBo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thickBo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thickBo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thickBo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thickBo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thickBo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thickBo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thickBo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thickBo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thickBo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thickBo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thickBo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thickBo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thickBo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thickBo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thickBo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thickBo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thickBo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thickBo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thickBo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thickBo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thickBo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thickBo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thickBo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thickBo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thickBo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thickBo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thickBo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thickBo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thickBo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thickBo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thickBo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thickBo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thickBo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thickBo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thickBo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thickBo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thickBo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thickBo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thickBo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thickBo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thickBo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thickBo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thickBo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thickBo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thickBo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thickBo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thickBo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thickBo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thickBo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thickBo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thickBo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thickBo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thickBo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thickBo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thickBo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thickBo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thickBo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thickBo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thickBo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thickBo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thickBo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thickBo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thickBo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thickBo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thickBo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thickBo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thickBo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thickBo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thickBo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thickBo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thickBo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thickBo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thickBo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thickBo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thickBo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thickBo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thickBo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thickBo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thickBo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thickBo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thickBo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thickBo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thickBo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thickBo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thickBo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thickBo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thickBo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thickBo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thickBo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thickBo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thickBo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thickBo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thickBo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thickBo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thickBo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thickBo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thickBo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thickBo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thickBo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thickBo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thickBo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thickBo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thickBo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thickBo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thickBo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thickBo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thickBo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thickBo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thickBo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thickBo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thickBo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thickBo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thickBo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thickBo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thickBo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thickBo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thickBo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thickBo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thickBo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thickBo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thickBo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thickBo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thickBo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thickBo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thickBo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thickBo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thickBo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thickBo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thickBo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thickBo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thickBo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thickBo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thickBo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thickBo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thickBo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thickBo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A1:F1"/>
    <mergeCell ref="A14:F14"/>
    <mergeCell ref="A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statment model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 E TOOBA</dc:creator>
  <cp:lastModifiedBy>UMM E TOOBA</cp:lastModifiedBy>
  <dcterms:created xsi:type="dcterms:W3CDTF">2026-08-04T00:51:21Z</dcterms:created>
  <dcterms:modified xsi:type="dcterms:W3CDTF">2026-08-12T11:15:51Z</dcterms:modified>
</cp:coreProperties>
</file>